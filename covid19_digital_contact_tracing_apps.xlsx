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\Documents\research\"/>
    </mc:Choice>
  </mc:AlternateContent>
  <xr:revisionPtr revIDLastSave="0" documentId="13_ncr:1_{21D3F160-F4B8-43D4-8B05-939A2580D09E}" xr6:coauthVersionLast="45" xr6:coauthVersionMax="45" xr10:uidLastSave="{00000000-0000-0000-0000-000000000000}"/>
  <bookViews>
    <workbookView xWindow="-120" yWindow="-120" windowWidth="29040" windowHeight="15840" activeTab="3" xr2:uid="{04E6C167-7445-41BD-A436-F1159F3CE4EB}"/>
  </bookViews>
  <sheets>
    <sheet name="All Data" sheetId="1" r:id="rId1"/>
    <sheet name="ByRegion" sheetId="4" r:id="rId2"/>
    <sheet name="Charts" sheetId="5" r:id="rId3"/>
    <sheet name="HeatMap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6" l="1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4" i="6"/>
  <c r="G3" i="6"/>
  <c r="F17" i="6"/>
  <c r="F18" i="6"/>
  <c r="F19" i="6"/>
  <c r="F20" i="6"/>
  <c r="F21" i="6"/>
  <c r="F22" i="6"/>
  <c r="F23" i="6"/>
  <c r="F24" i="6"/>
  <c r="F25" i="6"/>
  <c r="F26" i="6"/>
  <c r="F27" i="6"/>
  <c r="F5" i="6"/>
  <c r="F6" i="6"/>
  <c r="F7" i="6"/>
  <c r="F8" i="6"/>
  <c r="F9" i="6"/>
  <c r="F10" i="6"/>
  <c r="F11" i="6"/>
  <c r="F12" i="6"/>
  <c r="F13" i="6"/>
  <c r="F14" i="6"/>
  <c r="F15" i="6"/>
  <c r="F16" i="6"/>
  <c r="F4" i="6"/>
  <c r="F3" i="6"/>
</calcChain>
</file>

<file path=xl/sharedStrings.xml><?xml version="1.0" encoding="utf-8"?>
<sst xmlns="http://schemas.openxmlformats.org/spreadsheetml/2006/main" count="983" uniqueCount="167">
  <si>
    <t>Application</t>
  </si>
  <si>
    <t>Country</t>
  </si>
  <si>
    <t>Users/Downloads</t>
  </si>
  <si>
    <t>Results</t>
  </si>
  <si>
    <t>COVIDAlert</t>
  </si>
  <si>
    <t>StopCovid</t>
  </si>
  <si>
    <t>Canada</t>
  </si>
  <si>
    <t>France</t>
  </si>
  <si>
    <t>Aarogya Setu</t>
  </si>
  <si>
    <t>India</t>
  </si>
  <si>
    <t>Immuni</t>
  </si>
  <si>
    <t>Italy</t>
  </si>
  <si>
    <t>TraceTogether</t>
  </si>
  <si>
    <t>Singapore</t>
  </si>
  <si>
    <t>Developer</t>
  </si>
  <si>
    <t>Bluetooth</t>
  </si>
  <si>
    <t>Rating</t>
  </si>
  <si>
    <t>Voluntary</t>
  </si>
  <si>
    <t>Government Technology Agency and Ministry of Health</t>
  </si>
  <si>
    <t>Indian government</t>
  </si>
  <si>
    <t>Limited</t>
  </si>
  <si>
    <t>Data Destruction</t>
  </si>
  <si>
    <t>Minimized</t>
  </si>
  <si>
    <t>Transparent</t>
  </si>
  <si>
    <t>Centralized</t>
  </si>
  <si>
    <t>China</t>
  </si>
  <si>
    <t>Austria</t>
  </si>
  <si>
    <t>Stopp Corona</t>
  </si>
  <si>
    <t>Chinese health code system</t>
  </si>
  <si>
    <t>Alipay, Hangzhou's Communist Party, Chinese national gov't</t>
  </si>
  <si>
    <t>Inria</t>
  </si>
  <si>
    <t>Bending Spoons</t>
  </si>
  <si>
    <t>Switzerland</t>
  </si>
  <si>
    <t>Swiss Contact Tracing App</t>
  </si>
  <si>
    <t>Y</t>
  </si>
  <si>
    <t>N</t>
  </si>
  <si>
    <t>Tech</t>
  </si>
  <si>
    <t>Decentralized</t>
  </si>
  <si>
    <t>In Dev</t>
  </si>
  <si>
    <t>Status</t>
  </si>
  <si>
    <t>Launched</t>
  </si>
  <si>
    <t>Location, Data Mining</t>
  </si>
  <si>
    <t>NA</t>
  </si>
  <si>
    <t>TBD</t>
  </si>
  <si>
    <t>Location</t>
  </si>
  <si>
    <t>Bluetooth, Blue Trace</t>
  </si>
  <si>
    <t>Swiss National Covid-19 Science Task Force</t>
  </si>
  <si>
    <t>CovidRadar</t>
  </si>
  <si>
    <t>Mexico</t>
  </si>
  <si>
    <t>Mexican government</t>
  </si>
  <si>
    <t>Ministry of Health</t>
  </si>
  <si>
    <t>Poland</t>
  </si>
  <si>
    <t>Germany</t>
  </si>
  <si>
    <t>Corona-Warn-App</t>
  </si>
  <si>
    <t>ProteGO</t>
  </si>
  <si>
    <t>Deutsche Telekom and SAP</t>
  </si>
  <si>
    <t>Ministry of Digital Affairs</t>
  </si>
  <si>
    <t>Israel</t>
  </si>
  <si>
    <t>HaMagen</t>
  </si>
  <si>
    <t>Health Ministry</t>
  </si>
  <si>
    <t>Mask.ir</t>
  </si>
  <si>
    <t>Iran</t>
  </si>
  <si>
    <t>Network of academics, mostly from Sharif University of Technology</t>
  </si>
  <si>
    <t>Ehteraz</t>
  </si>
  <si>
    <t>Qatar</t>
  </si>
  <si>
    <t>Ministry of Public Health</t>
  </si>
  <si>
    <t>Bluetooth, Location</t>
  </si>
  <si>
    <t>Denmark</t>
  </si>
  <si>
    <t>Ketju</t>
  </si>
  <si>
    <t>Smittestop</t>
  </si>
  <si>
    <t>NetCompany</t>
  </si>
  <si>
    <t>Public private collaboration National Cyber Security Center</t>
  </si>
  <si>
    <t>Bluetooth, DP-3T</t>
  </si>
  <si>
    <t>CovTracer</t>
  </si>
  <si>
    <t>Cyprus</t>
  </si>
  <si>
    <t>Location, GPS</t>
  </si>
  <si>
    <t>COCOA</t>
  </si>
  <si>
    <t>Japan</t>
  </si>
  <si>
    <t>Shlonik</t>
  </si>
  <si>
    <t>Kuwait</t>
  </si>
  <si>
    <t>Department of Health</t>
  </si>
  <si>
    <t>Norway</t>
  </si>
  <si>
    <t>Norwegian Institute of Public Health</t>
  </si>
  <si>
    <t>MorChana</t>
  </si>
  <si>
    <t>Hayat Eve Sigar</t>
  </si>
  <si>
    <t>Turkey</t>
  </si>
  <si>
    <t>NHS COVID-19 App</t>
  </si>
  <si>
    <t>UK</t>
  </si>
  <si>
    <t>NHSX</t>
  </si>
  <si>
    <t>Turkish Ministry of Health</t>
  </si>
  <si>
    <t>Thailand</t>
  </si>
  <si>
    <t>BlueZone</t>
  </si>
  <si>
    <t>Vietnam</t>
  </si>
  <si>
    <t>Bkav and the Ministry of Information and Communications</t>
  </si>
  <si>
    <t>Austrian Red Cross</t>
  </si>
  <si>
    <t>Shopify and Blackberry</t>
  </si>
  <si>
    <t>Hungary</t>
  </si>
  <si>
    <t>VirusRadar</t>
  </si>
  <si>
    <t>Nextsense</t>
  </si>
  <si>
    <t>Ministry of Health, the Kuwait Central Agency of Info Tech, and Zain</t>
  </si>
  <si>
    <r>
      <t xml:space="preserve">Bluetooth, </t>
    </r>
    <r>
      <rPr>
        <sz val="11"/>
        <rFont val="Calibri"/>
        <family val="2"/>
        <scheme val="minor"/>
      </rPr>
      <t>Location</t>
    </r>
  </si>
  <si>
    <t>Bahrain</t>
  </si>
  <si>
    <t>Belgium</t>
  </si>
  <si>
    <t>Bulgaria</t>
  </si>
  <si>
    <t>Czech</t>
  </si>
  <si>
    <t>Estonia</t>
  </si>
  <si>
    <t>Indonesia</t>
  </si>
  <si>
    <t>Malaysia</t>
  </si>
  <si>
    <t>North Macedonia</t>
  </si>
  <si>
    <t>Philippines</t>
  </si>
  <si>
    <t>Saudi Arabia</t>
  </si>
  <si>
    <t>UAE</t>
  </si>
  <si>
    <t>Bluetooth, Google/Apple</t>
  </si>
  <si>
    <t>Finland</t>
  </si>
  <si>
    <t>eRouska</t>
  </si>
  <si>
    <t>ViruSafe</t>
  </si>
  <si>
    <t>Belgium's apap*</t>
  </si>
  <si>
    <t>BeAware</t>
  </si>
  <si>
    <t>Bluetooth, DP-3T, Google/Apple</t>
  </si>
  <si>
    <t>Northern Ireland</t>
  </si>
  <si>
    <t>MyTrace</t>
  </si>
  <si>
    <t>Ministry of Science, Technology and Innovation</t>
  </si>
  <si>
    <t>Estonia's app*</t>
  </si>
  <si>
    <t>PeduliLindungi</t>
  </si>
  <si>
    <t>Scaleforce and the Bulgarian Ministry</t>
  </si>
  <si>
    <t>Bytelogics, Cybernetica, Fujitsu Estonia, Guardtime, Icefire, Iglu, Mobi Lab, Mooncascade, Velvet</t>
  </si>
  <si>
    <t>Information &amp; eGovernment Authority</t>
  </si>
  <si>
    <t>Northern Ireland's app*</t>
  </si>
  <si>
    <t>StopKorona</t>
  </si>
  <si>
    <t>NextSense</t>
  </si>
  <si>
    <t>StaySafe</t>
  </si>
  <si>
    <t>Tawakkalna</t>
  </si>
  <si>
    <t>Tabaud</t>
  </si>
  <si>
    <t>TraceCovid</t>
  </si>
  <si>
    <t>Ireland</t>
  </si>
  <si>
    <t>CovidTracker</t>
  </si>
  <si>
    <t>HSE- Ireland's Health Service</t>
  </si>
  <si>
    <t>Ministry of Health and the Saudi Data and Artificial Intelligence Authority</t>
  </si>
  <si>
    <t>Beat Covid Gibraltar</t>
  </si>
  <si>
    <t>Gibraltar</t>
  </si>
  <si>
    <t>Region</t>
  </si>
  <si>
    <t xml:space="preserve">Bluetooth </t>
  </si>
  <si>
    <t>Google/Apple</t>
  </si>
  <si>
    <t>DP-3T</t>
  </si>
  <si>
    <t>GPS</t>
  </si>
  <si>
    <t xml:space="preserve">Location </t>
  </si>
  <si>
    <t>QR Codes</t>
  </si>
  <si>
    <t>Asia</t>
  </si>
  <si>
    <t>Europe</t>
  </si>
  <si>
    <t>North America</t>
  </si>
  <si>
    <t>Mandatory use</t>
  </si>
  <si>
    <t>Data Mining</t>
  </si>
  <si>
    <t>BlueTrace</t>
  </si>
  <si>
    <t>Population</t>
  </si>
  <si>
    <t>App</t>
  </si>
  <si>
    <t># App Users</t>
  </si>
  <si>
    <t># Total cases</t>
  </si>
  <si>
    <t>Total cases/Pop</t>
  </si>
  <si>
    <t># App Users/Pop</t>
  </si>
  <si>
    <t>Interfederal Committee Testing and Tracing</t>
  </si>
  <si>
    <t>Bluetooth, Google/Apple, DP3T</t>
  </si>
  <si>
    <t>Research Centre on Interactive Media, Smart Systems and Emerging Technologies (RISE)</t>
  </si>
  <si>
    <t>Bluetooth, Google/Apple, DP-3T</t>
  </si>
  <si>
    <t>Continent</t>
  </si>
  <si>
    <t>Contact Tracing Apps: ASIA</t>
  </si>
  <si>
    <t>Contact Tracing Apps: Europe</t>
  </si>
  <si>
    <t>Contact Tracing Apps: 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</si>
</sst>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2" applyNumberFormat="1" applyFont="1"/>
    <xf numFmtId="0" fontId="0" fillId="0" borderId="0" xfId="1" applyNumberFormat="1" applyFont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7" xfId="3" applyBorder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Title" xfId="3" builtinId="15"/>
  </cellStyles>
  <dxfs count="0"/>
  <tableStyles count="0" defaultTableStyle="TableStyleMedium2" defaultPivotStyle="PivotStyleLight16"/>
  <colors>
    <mruColors>
      <color rgb="FFC07E7E"/>
      <color rgb="FFF089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Contact</a:t>
            </a:r>
            <a:r>
              <a:rPr lang="en-US" baseline="0"/>
              <a:t> Tracing Apps: </a:t>
            </a:r>
            <a:r>
              <a:rPr lang="en-US"/>
              <a:t>Technologies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ByRegion!$N$4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F0893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ByRegion!$O$3:$U$3</c:f>
              <c:strCache>
                <c:ptCount val="7"/>
                <c:pt idx="0">
                  <c:v>Bluetooth </c:v>
                </c:pt>
                <c:pt idx="1">
                  <c:v>GPS</c:v>
                </c:pt>
                <c:pt idx="2">
                  <c:v>Location </c:v>
                </c:pt>
                <c:pt idx="3">
                  <c:v>Data Mining</c:v>
                </c:pt>
                <c:pt idx="4">
                  <c:v>Google/Apple</c:v>
                </c:pt>
                <c:pt idx="5">
                  <c:v>DP-3T</c:v>
                </c:pt>
                <c:pt idx="6">
                  <c:v>BlueTrace</c:v>
                </c:pt>
              </c:strCache>
            </c:strRef>
          </c:cat>
          <c:val>
            <c:numRef>
              <c:f>ByRegion!$O$4:$U$4</c:f>
              <c:numCache>
                <c:formatCode>General</c:formatCode>
                <c:ptCount val="7"/>
                <c:pt idx="0">
                  <c:v>12</c:v>
                </c:pt>
                <c:pt idx="1">
                  <c:v>1</c:v>
                </c:pt>
                <c:pt idx="2">
                  <c:v>12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D-4701-8257-C915F1169154}"/>
            </c:ext>
          </c:extLst>
        </c:ser>
        <c:ser>
          <c:idx val="1"/>
          <c:order val="1"/>
          <c:tx>
            <c:strRef>
              <c:f>ByRegion!$N$5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C07E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ByRegion!$O$3:$U$3</c:f>
              <c:strCache>
                <c:ptCount val="7"/>
                <c:pt idx="0">
                  <c:v>Bluetooth </c:v>
                </c:pt>
                <c:pt idx="1">
                  <c:v>GPS</c:v>
                </c:pt>
                <c:pt idx="2">
                  <c:v>Location </c:v>
                </c:pt>
                <c:pt idx="3">
                  <c:v>Data Mining</c:v>
                </c:pt>
                <c:pt idx="4">
                  <c:v>Google/Apple</c:v>
                </c:pt>
                <c:pt idx="5">
                  <c:v>DP-3T</c:v>
                </c:pt>
                <c:pt idx="6">
                  <c:v>BlueTrace</c:v>
                </c:pt>
              </c:strCache>
            </c:strRef>
          </c:cat>
          <c:val>
            <c:numRef>
              <c:f>ByRegion!$O$5:$U$5</c:f>
              <c:numCache>
                <c:formatCode>General</c:formatCode>
                <c:ptCount val="7"/>
                <c:pt idx="0">
                  <c:v>18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D-4701-8257-C915F1169154}"/>
            </c:ext>
          </c:extLst>
        </c:ser>
        <c:ser>
          <c:idx val="2"/>
          <c:order val="2"/>
          <c:tx>
            <c:strRef>
              <c:f>ByRegion!$N$6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ByRegion!$O$3:$U$3</c:f>
              <c:strCache>
                <c:ptCount val="7"/>
                <c:pt idx="0">
                  <c:v>Bluetooth </c:v>
                </c:pt>
                <c:pt idx="1">
                  <c:v>GPS</c:v>
                </c:pt>
                <c:pt idx="2">
                  <c:v>Location </c:v>
                </c:pt>
                <c:pt idx="3">
                  <c:v>Data Mining</c:v>
                </c:pt>
                <c:pt idx="4">
                  <c:v>Google/Apple</c:v>
                </c:pt>
                <c:pt idx="5">
                  <c:v>DP-3T</c:v>
                </c:pt>
                <c:pt idx="6">
                  <c:v>BlueTrace</c:v>
                </c:pt>
              </c:strCache>
            </c:strRef>
          </c:cat>
          <c:val>
            <c:numRef>
              <c:f>ByRegion!$O$6:$U$6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D-4701-8257-C915F1169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241608"/>
        <c:axId val="841237344"/>
      </c:barChart>
      <c:catAx>
        <c:axId val="84124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237344"/>
        <c:crosses val="autoZero"/>
        <c:auto val="1"/>
        <c:lblAlgn val="ctr"/>
        <c:lblOffset val="100"/>
        <c:noMultiLvlLbl val="0"/>
      </c:catAx>
      <c:valAx>
        <c:axId val="84123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24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Contact Tracing Apps: Privacy/Security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ByRegion!$N$11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F0893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ByRegion!$O$10:$S$10</c:f>
              <c:strCache>
                <c:ptCount val="5"/>
                <c:pt idx="0">
                  <c:v>Voluntary</c:v>
                </c:pt>
                <c:pt idx="1">
                  <c:v>Limited</c:v>
                </c:pt>
                <c:pt idx="2">
                  <c:v>Data Destruction</c:v>
                </c:pt>
                <c:pt idx="3">
                  <c:v>Minimized</c:v>
                </c:pt>
                <c:pt idx="4">
                  <c:v>Transparent</c:v>
                </c:pt>
              </c:strCache>
            </c:strRef>
          </c:cat>
          <c:val>
            <c:numRef>
              <c:f>ByRegion!$O$11:$S$11</c:f>
              <c:numCache>
                <c:formatCode>General</c:formatCode>
                <c:ptCount val="5"/>
                <c:pt idx="0">
                  <c:v>10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8-42C3-8AE9-07BEA5FCE564}"/>
            </c:ext>
          </c:extLst>
        </c:ser>
        <c:ser>
          <c:idx val="1"/>
          <c:order val="1"/>
          <c:tx>
            <c:strRef>
              <c:f>ByRegion!$N$12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C07E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ByRegion!$O$10:$S$10</c:f>
              <c:strCache>
                <c:ptCount val="5"/>
                <c:pt idx="0">
                  <c:v>Voluntary</c:v>
                </c:pt>
                <c:pt idx="1">
                  <c:v>Limited</c:v>
                </c:pt>
                <c:pt idx="2">
                  <c:v>Data Destruction</c:v>
                </c:pt>
                <c:pt idx="3">
                  <c:v>Minimized</c:v>
                </c:pt>
                <c:pt idx="4">
                  <c:v>Transparent</c:v>
                </c:pt>
              </c:strCache>
            </c:strRef>
          </c:cat>
          <c:val>
            <c:numRef>
              <c:f>ByRegion!$O$12:$S$12</c:f>
              <c:numCache>
                <c:formatCode>General</c:formatCode>
                <c:ptCount val="5"/>
                <c:pt idx="0">
                  <c:v>18</c:v>
                </c:pt>
                <c:pt idx="1">
                  <c:v>10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8-42C3-8AE9-07BEA5FCE564}"/>
            </c:ext>
          </c:extLst>
        </c:ser>
        <c:ser>
          <c:idx val="2"/>
          <c:order val="2"/>
          <c:tx>
            <c:strRef>
              <c:f>ByRegion!$N$13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ByRegion!$O$10:$S$10</c:f>
              <c:strCache>
                <c:ptCount val="5"/>
                <c:pt idx="0">
                  <c:v>Voluntary</c:v>
                </c:pt>
                <c:pt idx="1">
                  <c:v>Limited</c:v>
                </c:pt>
                <c:pt idx="2">
                  <c:v>Data Destruction</c:v>
                </c:pt>
                <c:pt idx="3">
                  <c:v>Minimized</c:v>
                </c:pt>
                <c:pt idx="4">
                  <c:v>Transparent</c:v>
                </c:pt>
              </c:strCache>
            </c:strRef>
          </c:cat>
          <c:val>
            <c:numRef>
              <c:f>ByRegion!$O$13:$S$13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8-42C3-8AE9-07BEA5FCE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929360"/>
        <c:axId val="838929688"/>
      </c:barChart>
      <c:catAx>
        <c:axId val="8389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29688"/>
        <c:crosses val="autoZero"/>
        <c:auto val="1"/>
        <c:lblAlgn val="ctr"/>
        <c:lblOffset val="100"/>
        <c:noMultiLvlLbl val="0"/>
      </c:catAx>
      <c:valAx>
        <c:axId val="83892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Contact</a:t>
            </a:r>
            <a:r>
              <a:rPr lang="en-US" sz="1400" baseline="0"/>
              <a:t> Tracing Apps: Data Storage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ByRegion!$N$17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F0893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ByRegion!$O$16:$Q$16</c:f>
              <c:strCache>
                <c:ptCount val="3"/>
                <c:pt idx="0">
                  <c:v>Centralized</c:v>
                </c:pt>
                <c:pt idx="1">
                  <c:v>Decentralized</c:v>
                </c:pt>
                <c:pt idx="2">
                  <c:v>TBD</c:v>
                </c:pt>
              </c:strCache>
            </c:strRef>
          </c:cat>
          <c:val>
            <c:numRef>
              <c:f>ByRegion!$O$17:$Q$17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B-47C8-8A43-603204BEEF75}"/>
            </c:ext>
          </c:extLst>
        </c:ser>
        <c:ser>
          <c:idx val="1"/>
          <c:order val="1"/>
          <c:tx>
            <c:strRef>
              <c:f>ByRegion!$N$18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C07E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ByRegion!$O$16:$Q$16</c:f>
              <c:strCache>
                <c:ptCount val="3"/>
                <c:pt idx="0">
                  <c:v>Centralized</c:v>
                </c:pt>
                <c:pt idx="1">
                  <c:v>Decentralized</c:v>
                </c:pt>
                <c:pt idx="2">
                  <c:v>TBD</c:v>
                </c:pt>
              </c:strCache>
            </c:strRef>
          </c:cat>
          <c:val>
            <c:numRef>
              <c:f>ByRegion!$O$18:$Q$18</c:f>
              <c:numCache>
                <c:formatCode>General</c:formatCode>
                <c:ptCount val="3"/>
                <c:pt idx="0">
                  <c:v>4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B-47C8-8A43-603204BEEF75}"/>
            </c:ext>
          </c:extLst>
        </c:ser>
        <c:ser>
          <c:idx val="2"/>
          <c:order val="2"/>
          <c:tx>
            <c:strRef>
              <c:f>ByRegion!$N$19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ByRegion!$O$16:$Q$16</c:f>
              <c:strCache>
                <c:ptCount val="3"/>
                <c:pt idx="0">
                  <c:v>Centralized</c:v>
                </c:pt>
                <c:pt idx="1">
                  <c:v>Decentralized</c:v>
                </c:pt>
                <c:pt idx="2">
                  <c:v>TBD</c:v>
                </c:pt>
              </c:strCache>
            </c:strRef>
          </c:cat>
          <c:val>
            <c:numRef>
              <c:f>ByRegion!$O$19:$Q$19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B-47C8-8A43-603204BEE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819664"/>
        <c:axId val="850820320"/>
      </c:barChart>
      <c:catAx>
        <c:axId val="85081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20320"/>
        <c:crosses val="autoZero"/>
        <c:auto val="1"/>
        <c:lblAlgn val="ctr"/>
        <c:lblOffset val="100"/>
        <c:noMultiLvlLbl val="0"/>
      </c:catAx>
      <c:valAx>
        <c:axId val="8508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1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</a:t>
            </a:r>
            <a:r>
              <a:rPr lang="en-US" baseline="0"/>
              <a:t> 3- Apps by Region: Privacy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Charts!$A$28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F0893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Charts!$B$27:$G$27</c:f>
              <c:strCache>
                <c:ptCount val="6"/>
                <c:pt idx="0">
                  <c:v>Mandatory use</c:v>
                </c:pt>
                <c:pt idx="1">
                  <c:v>Voluntary</c:v>
                </c:pt>
                <c:pt idx="2">
                  <c:v>TBD</c:v>
                </c:pt>
                <c:pt idx="3">
                  <c:v>Centralized</c:v>
                </c:pt>
                <c:pt idx="4">
                  <c:v>Decentralized</c:v>
                </c:pt>
                <c:pt idx="5">
                  <c:v>TBD</c:v>
                </c:pt>
              </c:strCache>
            </c:strRef>
          </c:cat>
          <c:val>
            <c:numRef>
              <c:f>Charts!$B$28:$G$28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0-4687-B4E2-7C5346D764BB}"/>
            </c:ext>
          </c:extLst>
        </c:ser>
        <c:ser>
          <c:idx val="1"/>
          <c:order val="1"/>
          <c:tx>
            <c:strRef>
              <c:f>Charts!$A$29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C07E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Charts!$B$27:$G$27</c:f>
              <c:strCache>
                <c:ptCount val="6"/>
                <c:pt idx="0">
                  <c:v>Mandatory use</c:v>
                </c:pt>
                <c:pt idx="1">
                  <c:v>Voluntary</c:v>
                </c:pt>
                <c:pt idx="2">
                  <c:v>TBD</c:v>
                </c:pt>
                <c:pt idx="3">
                  <c:v>Centralized</c:v>
                </c:pt>
                <c:pt idx="4">
                  <c:v>Decentralized</c:v>
                </c:pt>
                <c:pt idx="5">
                  <c:v>TBD</c:v>
                </c:pt>
              </c:strCache>
            </c:strRef>
          </c:cat>
          <c:val>
            <c:numRef>
              <c:f>Charts!$B$29:$G$29</c:f>
              <c:numCache>
                <c:formatCode>General</c:formatCode>
                <c:ptCount val="6"/>
                <c:pt idx="0">
                  <c:v>0</c:v>
                </c:pt>
                <c:pt idx="1">
                  <c:v>17</c:v>
                </c:pt>
                <c:pt idx="2">
                  <c:v>2</c:v>
                </c:pt>
                <c:pt idx="3">
                  <c:v>3</c:v>
                </c:pt>
                <c:pt idx="4">
                  <c:v>12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0-4687-B4E2-7C5346D764BB}"/>
            </c:ext>
          </c:extLst>
        </c:ser>
        <c:ser>
          <c:idx val="2"/>
          <c:order val="2"/>
          <c:tx>
            <c:strRef>
              <c:f>Charts!$A$30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Charts!$B$27:$G$27</c:f>
              <c:strCache>
                <c:ptCount val="6"/>
                <c:pt idx="0">
                  <c:v>Mandatory use</c:v>
                </c:pt>
                <c:pt idx="1">
                  <c:v>Voluntary</c:v>
                </c:pt>
                <c:pt idx="2">
                  <c:v>TBD</c:v>
                </c:pt>
                <c:pt idx="3">
                  <c:v>Centralized</c:v>
                </c:pt>
                <c:pt idx="4">
                  <c:v>Decentralized</c:v>
                </c:pt>
                <c:pt idx="5">
                  <c:v>TBD</c:v>
                </c:pt>
              </c:strCache>
            </c:strRef>
          </c:cat>
          <c:val>
            <c:numRef>
              <c:f>Charts!$B$30:$G$30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70-4687-B4E2-7C5346D76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068032"/>
        <c:axId val="778066720"/>
      </c:barChart>
      <c:catAx>
        <c:axId val="77806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66720"/>
        <c:crosses val="autoZero"/>
        <c:auto val="1"/>
        <c:lblAlgn val="ctr"/>
        <c:lblOffset val="100"/>
        <c:noMultiLvlLbl val="0"/>
      </c:catAx>
      <c:valAx>
        <c:axId val="7780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6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2- Apps by Region:</a:t>
            </a:r>
            <a:r>
              <a:rPr lang="en-US" baseline="0"/>
              <a:t> Technology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Charts!$A$4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F0893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Charts!$B$3:$J$3</c:f>
              <c:strCache>
                <c:ptCount val="9"/>
                <c:pt idx="0">
                  <c:v>Bluetooth </c:v>
                </c:pt>
                <c:pt idx="1">
                  <c:v>GPS</c:v>
                </c:pt>
                <c:pt idx="2">
                  <c:v>Location </c:v>
                </c:pt>
                <c:pt idx="3">
                  <c:v>QR Codes</c:v>
                </c:pt>
                <c:pt idx="4">
                  <c:v>Data Mining</c:v>
                </c:pt>
                <c:pt idx="5">
                  <c:v>Google/Apple</c:v>
                </c:pt>
                <c:pt idx="6">
                  <c:v>DP-3T</c:v>
                </c:pt>
                <c:pt idx="7">
                  <c:v>BlueTrace</c:v>
                </c:pt>
                <c:pt idx="8">
                  <c:v>TBD</c:v>
                </c:pt>
              </c:strCache>
            </c:strRef>
          </c:cat>
          <c:val>
            <c:numRef>
              <c:f>Charts!$B$4:$J$4</c:f>
              <c:numCache>
                <c:formatCode>General</c:formatCode>
                <c:ptCount val="9"/>
                <c:pt idx="0">
                  <c:v>10</c:v>
                </c:pt>
                <c:pt idx="1">
                  <c:v>1</c:v>
                </c:pt>
                <c:pt idx="2">
                  <c:v>11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C-4C22-BB58-AF211BF4B1A3}"/>
            </c:ext>
          </c:extLst>
        </c:ser>
        <c:ser>
          <c:idx val="1"/>
          <c:order val="1"/>
          <c:tx>
            <c:strRef>
              <c:f>Charts!$A$5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C07E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Charts!$B$3:$J$3</c:f>
              <c:strCache>
                <c:ptCount val="9"/>
                <c:pt idx="0">
                  <c:v>Bluetooth </c:v>
                </c:pt>
                <c:pt idx="1">
                  <c:v>GPS</c:v>
                </c:pt>
                <c:pt idx="2">
                  <c:v>Location </c:v>
                </c:pt>
                <c:pt idx="3">
                  <c:v>QR Codes</c:v>
                </c:pt>
                <c:pt idx="4">
                  <c:v>Data Mining</c:v>
                </c:pt>
                <c:pt idx="5">
                  <c:v>Google/Apple</c:v>
                </c:pt>
                <c:pt idx="6">
                  <c:v>DP-3T</c:v>
                </c:pt>
                <c:pt idx="7">
                  <c:v>BlueTrace</c:v>
                </c:pt>
                <c:pt idx="8">
                  <c:v>TBD</c:v>
                </c:pt>
              </c:strCache>
            </c:strRef>
          </c:cat>
          <c:val>
            <c:numRef>
              <c:f>Charts!$B$5:$J$5</c:f>
              <c:numCache>
                <c:formatCode>General</c:formatCode>
                <c:ptCount val="9"/>
                <c:pt idx="0">
                  <c:v>17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C-4C22-BB58-AF211BF4B1A3}"/>
            </c:ext>
          </c:extLst>
        </c:ser>
        <c:ser>
          <c:idx val="2"/>
          <c:order val="2"/>
          <c:tx>
            <c:strRef>
              <c:f>Charts!$A$6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Charts!$B$3:$J$3</c:f>
              <c:strCache>
                <c:ptCount val="9"/>
                <c:pt idx="0">
                  <c:v>Bluetooth </c:v>
                </c:pt>
                <c:pt idx="1">
                  <c:v>GPS</c:v>
                </c:pt>
                <c:pt idx="2">
                  <c:v>Location </c:v>
                </c:pt>
                <c:pt idx="3">
                  <c:v>QR Codes</c:v>
                </c:pt>
                <c:pt idx="4">
                  <c:v>Data Mining</c:v>
                </c:pt>
                <c:pt idx="5">
                  <c:v>Google/Apple</c:v>
                </c:pt>
                <c:pt idx="6">
                  <c:v>DP-3T</c:v>
                </c:pt>
                <c:pt idx="7">
                  <c:v>BlueTrace</c:v>
                </c:pt>
                <c:pt idx="8">
                  <c:v>TBD</c:v>
                </c:pt>
              </c:strCache>
            </c:strRef>
          </c:cat>
          <c:val>
            <c:numRef>
              <c:f>Charts!$B$6:$J$6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6C-4C22-BB58-AF211BF4B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693632"/>
        <c:axId val="851696584"/>
      </c:barChart>
      <c:catAx>
        <c:axId val="8516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96584"/>
        <c:crosses val="autoZero"/>
        <c:auto val="1"/>
        <c:lblAlgn val="ctr"/>
        <c:lblOffset val="100"/>
        <c:noMultiLvlLbl val="0"/>
      </c:catAx>
      <c:valAx>
        <c:axId val="85169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104775</xdr:colOff>
      <xdr:row>21</xdr:row>
      <xdr:rowOff>66675</xdr:rowOff>
    </xdr:from>
    <xdr:to>
      <xdr:col>18</xdr:col>
      <xdr:colOff>819150</xdr:colOff>
      <xdr:row>36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E2E80-5679-4D4E-B52A-EB9ECF782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257175</xdr:colOff>
      <xdr:row>21</xdr:row>
      <xdr:rowOff>95250</xdr:rowOff>
    </xdr:from>
    <xdr:to>
      <xdr:col>26</xdr:col>
      <xdr:colOff>266700</xdr:colOff>
      <xdr:row>36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CCEB66-65E8-4BCA-97AF-071987381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39</xdr:row>
      <xdr:rowOff>9525</xdr:rowOff>
    </xdr:from>
    <xdr:to>
      <xdr:col>22</xdr:col>
      <xdr:colOff>390525</xdr:colOff>
      <xdr:row>54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14BD37-EACB-4429-814A-4BA9E00A0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31</xdr:row>
      <xdr:rowOff>57150</xdr:rowOff>
    </xdr:from>
    <xdr:to>
      <xdr:col>10</xdr:col>
      <xdr:colOff>333375</xdr:colOff>
      <xdr:row>45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7FFA39-DF45-45A5-9574-F67D802A3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333375</xdr:colOff>
      <xdr:row>6</xdr:row>
      <xdr:rowOff>171450</xdr:rowOff>
    </xdr:from>
    <xdr:to>
      <xdr:col>11</xdr:col>
      <xdr:colOff>295275</xdr:colOff>
      <xdr:row>22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FDEE90-9FE6-4A0E-843A-0733E0B77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FCEA7-98C1-4ED6-BD93-A31B1CF782CA}" name="Table1" displayName="Table1" ref="A1:N41" totalsRowShown="0" headerRowCellStyle="Normal" dataCellStyle="Normal">
  <autoFilter ref="A1:N41" xr:uid="{D8DF6903-9019-43EB-A388-AA865E1CD307}"/>
  <tableColumns count="14">
    <tableColumn id="1" xr3:uid="{6FC343C5-E894-4D8D-8D82-B16419BADF71}" name="Application" dataCellStyle="Normal"/>
    <tableColumn id="2" xr3:uid="{7E5E8ED4-1DA8-4B41-A62E-4D17B950A193}" name="Country" dataCellStyle="Normal"/>
    <tableColumn id="3" xr3:uid="{9AFA9C2F-DC96-4879-B1CC-EAEADC3E65A7}" name="Developer" dataCellStyle="Normal"/>
    <tableColumn id="4" xr3:uid="{B071A1A5-90D7-4C13-9423-602A234E35DF}" name="Status" dataCellStyle="Normal"/>
    <tableColumn id="5" xr3:uid="{2866573D-80C8-4A77-B8AB-69214634008B}" name="Users/Downloads" dataCellStyle="Normal"/>
    <tableColumn id="6" xr3:uid="{0E404229-9339-44A1-B3B0-3C3ED10E1274}" name="Tech" dataCellStyle="Normal"/>
    <tableColumn id="7" xr3:uid="{830A3588-2807-400E-B6F5-45BFC272E754}" name="Rating" dataCellStyle="Normal"/>
    <tableColumn id="8" xr3:uid="{72ECC62B-D0DE-493E-9016-1A4F10C034FE}" name="Voluntary" dataCellStyle="Normal"/>
    <tableColumn id="9" xr3:uid="{420F3F0D-041C-4F11-96BF-1A0F682E6642}" name="Limited" dataCellStyle="Normal"/>
    <tableColumn id="10" xr3:uid="{189D9E47-50C3-48E9-B9B1-CCA4DCD96C2F}" name="Data Destruction" dataCellStyle="Normal"/>
    <tableColumn id="11" xr3:uid="{212C8F9C-9958-4A28-80DA-200003647C23}" name="Minimized" dataCellStyle="Normal"/>
    <tableColumn id="12" xr3:uid="{857A45A2-A6CD-4945-B5C1-999F79BD1B5B}" name="Transparent" dataCellStyle="Normal"/>
    <tableColumn id="13" xr3:uid="{459C12BE-936B-447E-80EC-5F02E5892CA7}" name="Centralized" dataCellStyle="Normal"/>
    <tableColumn id="14" xr3:uid="{38399778-5F43-427E-B012-CB823BA2062C}" name="Results" dataCellStyle="Norm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4785-DEDB-436A-8362-7EBB65F3507E}">
  <dimension ref="A1:N41"/>
  <sheetViews>
    <sheetView workbookViewId="0">
      <selection activeCell="Q9" sqref="Q9"/>
    </sheetView>
  </sheetViews>
  <sheetFormatPr defaultRowHeight="15" x14ac:dyDescent="0.25"/>
  <cols>
    <col min="1" max="1" width="21.5703125" customWidth="1"/>
    <col min="2" max="2" width="16.5703125" customWidth="1"/>
    <col min="3" max="3" width="9" customWidth="1"/>
    <col min="4" max="4" width="11" bestFit="1" customWidth="1"/>
    <col min="5" max="5" width="17.42578125" customWidth="1"/>
    <col min="6" max="6" width="23.140625" bestFit="1" customWidth="1"/>
    <col min="7" max="7" width="8.7109375" customWidth="1"/>
    <col min="8" max="8" width="11.85546875" customWidth="1"/>
    <col min="9" max="9" width="9.85546875" customWidth="1"/>
    <col min="10" max="10" width="17.85546875" customWidth="1"/>
    <col min="11" max="11" width="12.7109375" customWidth="1"/>
    <col min="12" max="12" width="13.7109375" customWidth="1"/>
    <col min="13" max="13" width="13.42578125" bestFit="1" customWidth="1"/>
    <col min="14" max="14" width="9.5703125" customWidth="1"/>
    <col min="15" max="15" width="15.42578125" bestFit="1" customWidth="1"/>
  </cols>
  <sheetData>
    <row r="1" spans="1:14" x14ac:dyDescent="0.25">
      <c r="A1" t="s">
        <v>0</v>
      </c>
      <c r="B1" t="s">
        <v>1</v>
      </c>
      <c r="C1" t="s">
        <v>14</v>
      </c>
      <c r="D1" t="s">
        <v>39</v>
      </c>
      <c r="E1" t="s">
        <v>2</v>
      </c>
      <c r="F1" t="s">
        <v>36</v>
      </c>
      <c r="G1" t="s">
        <v>16</v>
      </c>
      <c r="H1" t="s">
        <v>17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3</v>
      </c>
    </row>
    <row r="2" spans="1:14" x14ac:dyDescent="0.25">
      <c r="A2" t="s">
        <v>27</v>
      </c>
      <c r="B2" t="s">
        <v>26</v>
      </c>
      <c r="C2" t="s">
        <v>94</v>
      </c>
      <c r="D2" t="s">
        <v>40</v>
      </c>
      <c r="E2">
        <v>600000</v>
      </c>
      <c r="F2" t="s">
        <v>112</v>
      </c>
      <c r="G2">
        <v>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37</v>
      </c>
    </row>
    <row r="3" spans="1:14" ht="14.25" customHeight="1" x14ac:dyDescent="0.25">
      <c r="A3" t="s">
        <v>117</v>
      </c>
      <c r="B3" t="s">
        <v>101</v>
      </c>
      <c r="C3" t="s">
        <v>126</v>
      </c>
      <c r="D3" t="s">
        <v>40</v>
      </c>
      <c r="E3">
        <v>400000</v>
      </c>
      <c r="F3" t="s">
        <v>66</v>
      </c>
      <c r="G3">
        <v>1</v>
      </c>
      <c r="H3" t="s">
        <v>34</v>
      </c>
      <c r="I3" t="s">
        <v>34</v>
      </c>
      <c r="J3" t="s">
        <v>43</v>
      </c>
      <c r="K3" t="s">
        <v>35</v>
      </c>
      <c r="L3" t="s">
        <v>35</v>
      </c>
      <c r="M3" t="s">
        <v>24</v>
      </c>
    </row>
    <row r="4" spans="1:14" ht="14.25" customHeight="1" x14ac:dyDescent="0.25">
      <c r="A4" t="s">
        <v>116</v>
      </c>
      <c r="B4" t="s">
        <v>102</v>
      </c>
      <c r="C4" t="s">
        <v>159</v>
      </c>
      <c r="D4" t="s">
        <v>38</v>
      </c>
      <c r="E4" t="s">
        <v>42</v>
      </c>
      <c r="F4" t="s">
        <v>160</v>
      </c>
      <c r="G4">
        <v>1</v>
      </c>
      <c r="H4" t="s">
        <v>34</v>
      </c>
      <c r="I4" t="s">
        <v>43</v>
      </c>
      <c r="J4" t="s">
        <v>43</v>
      </c>
      <c r="K4" t="s">
        <v>43</v>
      </c>
      <c r="L4" t="s">
        <v>43</v>
      </c>
      <c r="M4" t="s">
        <v>37</v>
      </c>
    </row>
    <row r="5" spans="1:14" x14ac:dyDescent="0.25">
      <c r="A5" t="s">
        <v>115</v>
      </c>
      <c r="B5" t="s">
        <v>103</v>
      </c>
      <c r="C5" t="s">
        <v>124</v>
      </c>
      <c r="D5" t="s">
        <v>40</v>
      </c>
      <c r="E5">
        <v>55000</v>
      </c>
      <c r="F5" t="s">
        <v>44</v>
      </c>
      <c r="G5">
        <v>5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24</v>
      </c>
    </row>
    <row r="6" spans="1:14" x14ac:dyDescent="0.25">
      <c r="A6" t="s">
        <v>4</v>
      </c>
      <c r="B6" t="s">
        <v>6</v>
      </c>
      <c r="C6" t="s">
        <v>95</v>
      </c>
      <c r="D6" t="s">
        <v>40</v>
      </c>
      <c r="E6" t="s">
        <v>42</v>
      </c>
      <c r="F6" t="s">
        <v>112</v>
      </c>
      <c r="G6">
        <v>5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37</v>
      </c>
    </row>
    <row r="7" spans="1:14" x14ac:dyDescent="0.25">
      <c r="A7" t="s">
        <v>28</v>
      </c>
      <c r="B7" t="s">
        <v>25</v>
      </c>
      <c r="C7" t="s">
        <v>29</v>
      </c>
      <c r="D7" t="s">
        <v>43</v>
      </c>
      <c r="E7" t="s">
        <v>43</v>
      </c>
      <c r="F7" t="s">
        <v>41</v>
      </c>
      <c r="G7">
        <v>0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24</v>
      </c>
    </row>
    <row r="8" spans="1:14" x14ac:dyDescent="0.25">
      <c r="A8" t="s">
        <v>73</v>
      </c>
      <c r="B8" t="s">
        <v>74</v>
      </c>
      <c r="C8" t="s">
        <v>161</v>
      </c>
      <c r="D8" t="s">
        <v>40</v>
      </c>
      <c r="E8">
        <v>9000</v>
      </c>
      <c r="F8" t="s">
        <v>75</v>
      </c>
      <c r="G8">
        <v>4</v>
      </c>
      <c r="H8" t="s">
        <v>34</v>
      </c>
      <c r="I8" t="s">
        <v>35</v>
      </c>
      <c r="J8" t="s">
        <v>34</v>
      </c>
      <c r="K8" t="s">
        <v>34</v>
      </c>
      <c r="L8" t="s">
        <v>34</v>
      </c>
      <c r="M8" t="s">
        <v>37</v>
      </c>
    </row>
    <row r="9" spans="1:14" x14ac:dyDescent="0.25">
      <c r="A9" t="s">
        <v>114</v>
      </c>
      <c r="B9" t="s">
        <v>104</v>
      </c>
      <c r="C9" t="s">
        <v>50</v>
      </c>
      <c r="E9">
        <v>277000</v>
      </c>
      <c r="F9" t="s">
        <v>15</v>
      </c>
      <c r="G9">
        <v>5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37</v>
      </c>
    </row>
    <row r="10" spans="1:14" x14ac:dyDescent="0.25">
      <c r="A10" t="s">
        <v>69</v>
      </c>
      <c r="B10" t="s">
        <v>67</v>
      </c>
      <c r="C10" t="s">
        <v>70</v>
      </c>
      <c r="D10" t="s">
        <v>40</v>
      </c>
      <c r="E10" t="s">
        <v>43</v>
      </c>
      <c r="F10" t="s">
        <v>112</v>
      </c>
      <c r="G10">
        <v>5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37</v>
      </c>
    </row>
    <row r="11" spans="1:14" x14ac:dyDescent="0.25">
      <c r="A11" t="s">
        <v>122</v>
      </c>
      <c r="B11" t="s">
        <v>105</v>
      </c>
      <c r="C11" t="s">
        <v>125</v>
      </c>
      <c r="D11" t="s">
        <v>38</v>
      </c>
      <c r="E11" t="s">
        <v>42</v>
      </c>
      <c r="F11" t="s">
        <v>118</v>
      </c>
      <c r="G11">
        <v>2</v>
      </c>
      <c r="H11" t="s">
        <v>34</v>
      </c>
      <c r="I11" t="s">
        <v>43</v>
      </c>
      <c r="J11" t="s">
        <v>43</v>
      </c>
      <c r="K11" t="s">
        <v>34</v>
      </c>
      <c r="L11" t="s">
        <v>43</v>
      </c>
      <c r="M11" t="s">
        <v>37</v>
      </c>
    </row>
    <row r="12" spans="1:14" x14ac:dyDescent="0.25">
      <c r="A12" t="s">
        <v>68</v>
      </c>
      <c r="B12" t="s">
        <v>113</v>
      </c>
      <c r="C12" t="s">
        <v>71</v>
      </c>
      <c r="D12" t="s">
        <v>38</v>
      </c>
      <c r="E12" t="s">
        <v>42</v>
      </c>
      <c r="F12" t="s">
        <v>72</v>
      </c>
      <c r="G12">
        <v>3</v>
      </c>
      <c r="H12" t="s">
        <v>34</v>
      </c>
      <c r="I12" t="s">
        <v>43</v>
      </c>
      <c r="J12" t="s">
        <v>43</v>
      </c>
      <c r="K12" t="s">
        <v>34</v>
      </c>
      <c r="L12" t="s">
        <v>34</v>
      </c>
      <c r="M12" t="s">
        <v>37</v>
      </c>
    </row>
    <row r="13" spans="1:14" x14ac:dyDescent="0.25">
      <c r="A13" t="s">
        <v>5</v>
      </c>
      <c r="B13" t="s">
        <v>7</v>
      </c>
      <c r="C13" t="s">
        <v>30</v>
      </c>
      <c r="D13" t="s">
        <v>40</v>
      </c>
      <c r="E13">
        <v>1900000</v>
      </c>
      <c r="F13" t="s">
        <v>15</v>
      </c>
      <c r="G13">
        <v>1</v>
      </c>
      <c r="H13" t="s">
        <v>34</v>
      </c>
      <c r="I13" t="s">
        <v>43</v>
      </c>
      <c r="J13" t="s">
        <v>43</v>
      </c>
      <c r="K13" t="s">
        <v>43</v>
      </c>
      <c r="L13" t="s">
        <v>43</v>
      </c>
      <c r="M13" t="s">
        <v>24</v>
      </c>
    </row>
    <row r="14" spans="1:14" x14ac:dyDescent="0.25">
      <c r="A14" t="s">
        <v>53</v>
      </c>
      <c r="B14" t="s">
        <v>52</v>
      </c>
      <c r="C14" t="s">
        <v>55</v>
      </c>
      <c r="D14" t="s">
        <v>40</v>
      </c>
      <c r="E14">
        <v>14000000</v>
      </c>
      <c r="F14" t="s">
        <v>112</v>
      </c>
      <c r="G14">
        <v>4</v>
      </c>
      <c r="H14" t="s">
        <v>34</v>
      </c>
      <c r="I14" t="s">
        <v>43</v>
      </c>
      <c r="J14" t="s">
        <v>34</v>
      </c>
      <c r="K14" t="s">
        <v>34</v>
      </c>
      <c r="L14" t="s">
        <v>34</v>
      </c>
      <c r="M14" t="s">
        <v>37</v>
      </c>
    </row>
    <row r="15" spans="1:14" x14ac:dyDescent="0.25">
      <c r="A15" t="s">
        <v>138</v>
      </c>
      <c r="B15" t="s">
        <v>139</v>
      </c>
      <c r="C15" t="s">
        <v>43</v>
      </c>
      <c r="D15" t="s">
        <v>38</v>
      </c>
      <c r="E15">
        <v>9000</v>
      </c>
      <c r="F15" t="s">
        <v>15</v>
      </c>
      <c r="G15">
        <v>5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37</v>
      </c>
    </row>
    <row r="16" spans="1:14" x14ac:dyDescent="0.25">
      <c r="A16" t="s">
        <v>97</v>
      </c>
      <c r="B16" t="s">
        <v>96</v>
      </c>
      <c r="C16" t="s">
        <v>98</v>
      </c>
      <c r="D16" t="s">
        <v>40</v>
      </c>
      <c r="E16">
        <v>10000</v>
      </c>
      <c r="F16" t="s">
        <v>15</v>
      </c>
      <c r="G16">
        <v>4</v>
      </c>
      <c r="H16" t="s">
        <v>34</v>
      </c>
      <c r="I16" t="s">
        <v>43</v>
      </c>
      <c r="J16" t="s">
        <v>34</v>
      </c>
      <c r="K16" t="s">
        <v>34</v>
      </c>
      <c r="L16" t="s">
        <v>34</v>
      </c>
      <c r="M16" t="s">
        <v>24</v>
      </c>
    </row>
    <row r="17" spans="1:13" x14ac:dyDescent="0.25">
      <c r="A17" t="s">
        <v>8</v>
      </c>
      <c r="B17" t="s">
        <v>9</v>
      </c>
      <c r="C17" t="s">
        <v>19</v>
      </c>
      <c r="D17" t="s">
        <v>40</v>
      </c>
      <c r="E17">
        <v>100000000</v>
      </c>
      <c r="F17" t="s">
        <v>100</v>
      </c>
      <c r="G17">
        <v>2</v>
      </c>
      <c r="H17" t="s">
        <v>35</v>
      </c>
      <c r="I17" t="s">
        <v>35</v>
      </c>
      <c r="J17" t="s">
        <v>34</v>
      </c>
      <c r="K17" t="s">
        <v>35</v>
      </c>
      <c r="L17" t="s">
        <v>34</v>
      </c>
      <c r="M17" t="s">
        <v>24</v>
      </c>
    </row>
    <row r="18" spans="1:13" x14ac:dyDescent="0.25">
      <c r="A18" t="s">
        <v>123</v>
      </c>
      <c r="B18" t="s">
        <v>106</v>
      </c>
      <c r="C18" t="s">
        <v>43</v>
      </c>
      <c r="D18" t="s">
        <v>40</v>
      </c>
      <c r="E18">
        <v>19000000</v>
      </c>
      <c r="F18" t="s">
        <v>66</v>
      </c>
      <c r="G18">
        <v>1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24</v>
      </c>
    </row>
    <row r="19" spans="1:13" x14ac:dyDescent="0.25">
      <c r="A19" t="s">
        <v>60</v>
      </c>
      <c r="B19" t="s">
        <v>61</v>
      </c>
      <c r="C19" t="s">
        <v>62</v>
      </c>
      <c r="D19" t="s">
        <v>40</v>
      </c>
      <c r="E19">
        <v>4000000</v>
      </c>
      <c r="F19" t="s">
        <v>44</v>
      </c>
      <c r="G19">
        <v>1</v>
      </c>
      <c r="H19" t="s">
        <v>34</v>
      </c>
      <c r="I19" t="s">
        <v>43</v>
      </c>
      <c r="J19" t="s">
        <v>43</v>
      </c>
      <c r="K19" t="s">
        <v>35</v>
      </c>
      <c r="L19" t="s">
        <v>35</v>
      </c>
      <c r="M19" t="s">
        <v>43</v>
      </c>
    </row>
    <row r="20" spans="1:13" x14ac:dyDescent="0.25">
      <c r="A20" t="s">
        <v>135</v>
      </c>
      <c r="B20" t="s">
        <v>134</v>
      </c>
      <c r="C20" t="s">
        <v>136</v>
      </c>
      <c r="D20" t="s">
        <v>40</v>
      </c>
      <c r="E20" t="s">
        <v>42</v>
      </c>
      <c r="F20" t="s">
        <v>112</v>
      </c>
      <c r="G20">
        <v>5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37</v>
      </c>
    </row>
    <row r="21" spans="1:13" x14ac:dyDescent="0.25">
      <c r="A21" t="s">
        <v>58</v>
      </c>
      <c r="B21" t="s">
        <v>57</v>
      </c>
      <c r="C21" t="s">
        <v>59</v>
      </c>
      <c r="D21" t="s">
        <v>40</v>
      </c>
      <c r="E21">
        <v>2000000</v>
      </c>
      <c r="F21" t="s">
        <v>44</v>
      </c>
      <c r="G21">
        <v>4</v>
      </c>
      <c r="H21" t="s">
        <v>35</v>
      </c>
      <c r="I21" t="s">
        <v>34</v>
      </c>
      <c r="J21" t="s">
        <v>34</v>
      </c>
      <c r="K21" t="s">
        <v>34</v>
      </c>
      <c r="L21" t="s">
        <v>34</v>
      </c>
      <c r="M21" t="s">
        <v>24</v>
      </c>
    </row>
    <row r="22" spans="1:13" x14ac:dyDescent="0.25">
      <c r="A22" t="s">
        <v>10</v>
      </c>
      <c r="B22" t="s">
        <v>11</v>
      </c>
      <c r="C22" t="s">
        <v>31</v>
      </c>
      <c r="D22" t="s">
        <v>40</v>
      </c>
      <c r="E22">
        <v>2200000</v>
      </c>
      <c r="F22" t="s">
        <v>112</v>
      </c>
      <c r="G22">
        <v>5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37</v>
      </c>
    </row>
    <row r="23" spans="1:13" x14ac:dyDescent="0.25">
      <c r="A23" t="s">
        <v>76</v>
      </c>
      <c r="B23" t="s">
        <v>77</v>
      </c>
      <c r="C23" t="s">
        <v>80</v>
      </c>
      <c r="D23" t="s">
        <v>40</v>
      </c>
      <c r="E23">
        <v>4000000</v>
      </c>
      <c r="F23" t="s">
        <v>142</v>
      </c>
      <c r="G23">
        <v>4</v>
      </c>
      <c r="H23" t="s">
        <v>34</v>
      </c>
      <c r="I23" t="s">
        <v>43</v>
      </c>
      <c r="J23" t="s">
        <v>34</v>
      </c>
      <c r="K23" t="s">
        <v>34</v>
      </c>
      <c r="L23" t="s">
        <v>34</v>
      </c>
      <c r="M23" t="s">
        <v>37</v>
      </c>
    </row>
    <row r="24" spans="1:13" x14ac:dyDescent="0.25">
      <c r="A24" t="s">
        <v>78</v>
      </c>
      <c r="B24" t="s">
        <v>79</v>
      </c>
      <c r="C24" t="s">
        <v>99</v>
      </c>
      <c r="D24" t="s">
        <v>40</v>
      </c>
      <c r="E24" t="s">
        <v>43</v>
      </c>
      <c r="F24" t="s">
        <v>44</v>
      </c>
      <c r="G24">
        <v>1</v>
      </c>
      <c r="H24">
        <v>1</v>
      </c>
      <c r="I24" t="s">
        <v>43</v>
      </c>
      <c r="J24" t="s">
        <v>35</v>
      </c>
      <c r="K24" t="s">
        <v>35</v>
      </c>
      <c r="L24" t="s">
        <v>35</v>
      </c>
      <c r="M24" t="s">
        <v>24</v>
      </c>
    </row>
    <row r="25" spans="1:13" x14ac:dyDescent="0.25">
      <c r="A25" t="s">
        <v>120</v>
      </c>
      <c r="B25" t="s">
        <v>107</v>
      </c>
      <c r="C25" t="s">
        <v>121</v>
      </c>
      <c r="E25">
        <v>100000</v>
      </c>
      <c r="F25" t="s">
        <v>112</v>
      </c>
      <c r="G25">
        <v>1</v>
      </c>
      <c r="H25" t="s">
        <v>34</v>
      </c>
      <c r="I25" t="s">
        <v>43</v>
      </c>
      <c r="J25" t="s">
        <v>35</v>
      </c>
      <c r="K25" t="s">
        <v>35</v>
      </c>
      <c r="L25" t="s">
        <v>35</v>
      </c>
      <c r="M25" t="s">
        <v>37</v>
      </c>
    </row>
    <row r="26" spans="1:13" x14ac:dyDescent="0.25">
      <c r="A26" t="s">
        <v>47</v>
      </c>
      <c r="B26" t="s">
        <v>48</v>
      </c>
      <c r="C26" t="s">
        <v>49</v>
      </c>
      <c r="D26" t="s">
        <v>40</v>
      </c>
      <c r="E26" t="s">
        <v>43</v>
      </c>
      <c r="F26" t="s">
        <v>15</v>
      </c>
      <c r="G26">
        <v>1</v>
      </c>
      <c r="H26" t="s">
        <v>34</v>
      </c>
      <c r="I26" t="s">
        <v>43</v>
      </c>
      <c r="J26" t="s">
        <v>35</v>
      </c>
      <c r="K26" t="s">
        <v>35</v>
      </c>
      <c r="L26" t="s">
        <v>35</v>
      </c>
      <c r="M26" t="s">
        <v>24</v>
      </c>
    </row>
    <row r="27" spans="1:13" x14ac:dyDescent="0.25">
      <c r="A27" t="s">
        <v>128</v>
      </c>
      <c r="B27" t="s">
        <v>108</v>
      </c>
      <c r="C27" t="s">
        <v>129</v>
      </c>
      <c r="D27" t="s">
        <v>40</v>
      </c>
      <c r="E27" t="s">
        <v>43</v>
      </c>
      <c r="F27" t="s">
        <v>15</v>
      </c>
      <c r="G27">
        <v>5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37</v>
      </c>
    </row>
    <row r="28" spans="1:13" x14ac:dyDescent="0.25">
      <c r="A28" t="s">
        <v>127</v>
      </c>
      <c r="B28" t="s">
        <v>119</v>
      </c>
      <c r="C28" t="s">
        <v>43</v>
      </c>
      <c r="D28" t="s">
        <v>38</v>
      </c>
      <c r="E28" t="s">
        <v>43</v>
      </c>
      <c r="F28" t="s">
        <v>112</v>
      </c>
      <c r="G28">
        <v>1</v>
      </c>
      <c r="H28" t="s">
        <v>34</v>
      </c>
      <c r="I28" t="s">
        <v>43</v>
      </c>
      <c r="J28" t="s">
        <v>43</v>
      </c>
      <c r="K28" t="s">
        <v>43</v>
      </c>
      <c r="L28" t="s">
        <v>43</v>
      </c>
      <c r="M28" t="s">
        <v>37</v>
      </c>
    </row>
    <row r="29" spans="1:13" x14ac:dyDescent="0.25">
      <c r="A29" t="s">
        <v>69</v>
      </c>
      <c r="B29" t="s">
        <v>81</v>
      </c>
      <c r="C29" t="s">
        <v>82</v>
      </c>
      <c r="D29" t="s">
        <v>40</v>
      </c>
      <c r="E29">
        <v>1427000</v>
      </c>
      <c r="F29" t="s">
        <v>66</v>
      </c>
      <c r="G29">
        <v>3</v>
      </c>
      <c r="H29" t="s">
        <v>34</v>
      </c>
      <c r="I29" t="s">
        <v>34</v>
      </c>
      <c r="J29" t="s">
        <v>34</v>
      </c>
      <c r="K29" t="s">
        <v>35</v>
      </c>
      <c r="L29" t="s">
        <v>35</v>
      </c>
      <c r="M29" t="s">
        <v>24</v>
      </c>
    </row>
    <row r="30" spans="1:13" x14ac:dyDescent="0.25">
      <c r="A30" t="s">
        <v>130</v>
      </c>
      <c r="B30" t="s">
        <v>109</v>
      </c>
      <c r="C30" t="s">
        <v>43</v>
      </c>
      <c r="D30" t="s">
        <v>40</v>
      </c>
      <c r="E30">
        <v>1200000</v>
      </c>
      <c r="F30" t="s">
        <v>15</v>
      </c>
      <c r="G30">
        <v>1</v>
      </c>
      <c r="H30" t="s">
        <v>34</v>
      </c>
      <c r="I30" t="s">
        <v>43</v>
      </c>
      <c r="J30" t="s">
        <v>43</v>
      </c>
      <c r="K30" t="s">
        <v>35</v>
      </c>
      <c r="L30" t="s">
        <v>35</v>
      </c>
      <c r="M30" t="s">
        <v>37</v>
      </c>
    </row>
    <row r="31" spans="1:13" x14ac:dyDescent="0.25">
      <c r="A31" t="s">
        <v>54</v>
      </c>
      <c r="B31" t="s">
        <v>51</v>
      </c>
      <c r="C31" t="s">
        <v>56</v>
      </c>
      <c r="D31" t="s">
        <v>40</v>
      </c>
      <c r="E31">
        <v>41665</v>
      </c>
      <c r="F31" t="s">
        <v>15</v>
      </c>
      <c r="G31">
        <v>4</v>
      </c>
      <c r="H31" t="s">
        <v>34</v>
      </c>
      <c r="I31" t="s">
        <v>43</v>
      </c>
      <c r="J31" t="s">
        <v>34</v>
      </c>
      <c r="K31" t="s">
        <v>34</v>
      </c>
      <c r="L31" t="s">
        <v>34</v>
      </c>
      <c r="M31" t="s">
        <v>37</v>
      </c>
    </row>
    <row r="32" spans="1:13" x14ac:dyDescent="0.25">
      <c r="A32" t="s">
        <v>63</v>
      </c>
      <c r="B32" t="s">
        <v>64</v>
      </c>
      <c r="C32" t="s">
        <v>65</v>
      </c>
      <c r="D32" t="s">
        <v>40</v>
      </c>
      <c r="E32">
        <v>2531630</v>
      </c>
      <c r="F32" t="s">
        <v>66</v>
      </c>
      <c r="G32">
        <v>0</v>
      </c>
      <c r="H32" t="s">
        <v>35</v>
      </c>
      <c r="I32" t="s">
        <v>43</v>
      </c>
      <c r="J32" t="s">
        <v>35</v>
      </c>
      <c r="K32" t="s">
        <v>35</v>
      </c>
      <c r="L32" t="s">
        <v>35</v>
      </c>
      <c r="M32" t="s">
        <v>24</v>
      </c>
    </row>
    <row r="33" spans="1:13" x14ac:dyDescent="0.25">
      <c r="A33" t="s">
        <v>131</v>
      </c>
      <c r="B33" t="s">
        <v>110</v>
      </c>
      <c r="C33" t="s">
        <v>137</v>
      </c>
      <c r="D33" t="s">
        <v>40</v>
      </c>
      <c r="E33" t="s">
        <v>43</v>
      </c>
      <c r="F33" t="s">
        <v>44</v>
      </c>
      <c r="G33">
        <v>0</v>
      </c>
      <c r="H33" t="s">
        <v>43</v>
      </c>
      <c r="I33" t="s">
        <v>43</v>
      </c>
      <c r="J33" t="s">
        <v>43</v>
      </c>
      <c r="K33" t="s">
        <v>35</v>
      </c>
      <c r="L33" t="s">
        <v>35</v>
      </c>
      <c r="M33" t="s">
        <v>43</v>
      </c>
    </row>
    <row r="34" spans="1:13" x14ac:dyDescent="0.25">
      <c r="A34" t="s">
        <v>132</v>
      </c>
      <c r="B34" t="s">
        <v>110</v>
      </c>
      <c r="C34" t="s">
        <v>137</v>
      </c>
      <c r="D34" t="s">
        <v>40</v>
      </c>
      <c r="E34" t="s">
        <v>43</v>
      </c>
      <c r="F34" t="s">
        <v>112</v>
      </c>
      <c r="G34">
        <v>2</v>
      </c>
      <c r="H34" t="s">
        <v>34</v>
      </c>
      <c r="I34" t="s">
        <v>43</v>
      </c>
      <c r="J34" t="s">
        <v>43</v>
      </c>
      <c r="K34" t="s">
        <v>34</v>
      </c>
      <c r="L34" t="s">
        <v>35</v>
      </c>
      <c r="M34" t="s">
        <v>37</v>
      </c>
    </row>
    <row r="35" spans="1:13" x14ac:dyDescent="0.25">
      <c r="A35" t="s">
        <v>12</v>
      </c>
      <c r="B35" t="s">
        <v>13</v>
      </c>
      <c r="C35" t="s">
        <v>18</v>
      </c>
      <c r="D35" t="s">
        <v>40</v>
      </c>
      <c r="E35">
        <v>2100000</v>
      </c>
      <c r="F35" t="s">
        <v>45</v>
      </c>
      <c r="G35">
        <v>5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24</v>
      </c>
    </row>
    <row r="36" spans="1:13" x14ac:dyDescent="0.25">
      <c r="A36" t="s">
        <v>33</v>
      </c>
      <c r="B36" t="s">
        <v>32</v>
      </c>
      <c r="C36" t="s">
        <v>46</v>
      </c>
      <c r="D36" t="s">
        <v>40</v>
      </c>
      <c r="E36">
        <v>500000</v>
      </c>
      <c r="F36" t="s">
        <v>118</v>
      </c>
      <c r="G36">
        <v>5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37</v>
      </c>
    </row>
    <row r="37" spans="1:13" x14ac:dyDescent="0.25">
      <c r="A37" t="s">
        <v>83</v>
      </c>
      <c r="B37" t="s">
        <v>90</v>
      </c>
      <c r="C37" t="s">
        <v>43</v>
      </c>
      <c r="D37" t="s">
        <v>40</v>
      </c>
      <c r="E37">
        <v>355000</v>
      </c>
      <c r="F37" t="s">
        <v>66</v>
      </c>
      <c r="G37">
        <v>0</v>
      </c>
      <c r="H37" t="s">
        <v>43</v>
      </c>
      <c r="I37" t="s">
        <v>43</v>
      </c>
      <c r="J37" t="s">
        <v>43</v>
      </c>
      <c r="K37" t="s">
        <v>35</v>
      </c>
      <c r="L37" t="s">
        <v>35</v>
      </c>
      <c r="M37" t="s">
        <v>37</v>
      </c>
    </row>
    <row r="38" spans="1:13" x14ac:dyDescent="0.25">
      <c r="A38" t="s">
        <v>84</v>
      </c>
      <c r="B38" t="s">
        <v>85</v>
      </c>
      <c r="C38" t="s">
        <v>89</v>
      </c>
      <c r="D38" t="s">
        <v>40</v>
      </c>
      <c r="E38">
        <v>14186000</v>
      </c>
      <c r="F38" t="s">
        <v>66</v>
      </c>
      <c r="G38">
        <v>1</v>
      </c>
      <c r="H38" t="s">
        <v>35</v>
      </c>
      <c r="I38" t="s">
        <v>35</v>
      </c>
      <c r="J38" t="s">
        <v>35</v>
      </c>
      <c r="K38" t="s">
        <v>34</v>
      </c>
      <c r="L38" t="s">
        <v>35</v>
      </c>
      <c r="M38" t="s">
        <v>24</v>
      </c>
    </row>
    <row r="39" spans="1:13" x14ac:dyDescent="0.25">
      <c r="A39" t="s">
        <v>133</v>
      </c>
      <c r="B39" t="s">
        <v>111</v>
      </c>
      <c r="C39" t="s">
        <v>80</v>
      </c>
      <c r="D39" t="s">
        <v>40</v>
      </c>
      <c r="E39" t="s">
        <v>43</v>
      </c>
      <c r="F39" t="s">
        <v>15</v>
      </c>
      <c r="G39">
        <v>1</v>
      </c>
      <c r="H39" t="s">
        <v>35</v>
      </c>
      <c r="I39" t="s">
        <v>43</v>
      </c>
      <c r="J39" t="s">
        <v>43</v>
      </c>
      <c r="K39" t="s">
        <v>34</v>
      </c>
      <c r="L39" t="s">
        <v>43</v>
      </c>
      <c r="M39" t="s">
        <v>37</v>
      </c>
    </row>
    <row r="40" spans="1:13" x14ac:dyDescent="0.25">
      <c r="A40" t="s">
        <v>86</v>
      </c>
      <c r="B40" t="s">
        <v>87</v>
      </c>
      <c r="C40" t="s">
        <v>88</v>
      </c>
      <c r="E40" t="s">
        <v>42</v>
      </c>
      <c r="F40" t="s">
        <v>112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37</v>
      </c>
    </row>
    <row r="41" spans="1:13" x14ac:dyDescent="0.25">
      <c r="A41" t="s">
        <v>91</v>
      </c>
      <c r="B41" t="s">
        <v>92</v>
      </c>
      <c r="C41" t="s">
        <v>93</v>
      </c>
      <c r="D41" t="s">
        <v>40</v>
      </c>
      <c r="E41">
        <v>382160</v>
      </c>
      <c r="F41" t="s">
        <v>15</v>
      </c>
      <c r="G41">
        <v>2</v>
      </c>
      <c r="H41" t="s">
        <v>34</v>
      </c>
      <c r="I41" t="s">
        <v>43</v>
      </c>
      <c r="J41" t="s">
        <v>35</v>
      </c>
      <c r="K41" t="s">
        <v>35</v>
      </c>
      <c r="L41" t="s">
        <v>34</v>
      </c>
      <c r="M41" t="s">
        <v>37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E533-D522-4E42-83CD-36CC825B0306}">
  <dimension ref="B2:V49"/>
  <sheetViews>
    <sheetView topLeftCell="A19" workbookViewId="0">
      <selection activeCell="P47" sqref="P47"/>
    </sheetView>
  </sheetViews>
  <sheetFormatPr defaultRowHeight="15" x14ac:dyDescent="0.25"/>
  <cols>
    <col min="2" max="2" width="26.28515625" bestFit="1" customWidth="1"/>
    <col min="3" max="3" width="12" bestFit="1" customWidth="1"/>
    <col min="4" max="4" width="16.85546875" bestFit="1" customWidth="1"/>
    <col min="5" max="5" width="30.140625" bestFit="1" customWidth="1"/>
    <col min="6" max="6" width="6.5703125" bestFit="1" customWidth="1"/>
    <col min="7" max="7" width="9.7109375" bestFit="1" customWidth="1"/>
    <col min="9" max="9" width="15.85546875" bestFit="1" customWidth="1"/>
    <col min="10" max="10" width="10.5703125" bestFit="1" customWidth="1"/>
    <col min="11" max="11" width="11.5703125" bestFit="1" customWidth="1"/>
    <col min="12" max="12" width="13.42578125" bestFit="1" customWidth="1"/>
    <col min="14" max="15" width="14" bestFit="1" customWidth="1"/>
    <col min="16" max="16" width="13.42578125" bestFit="1" customWidth="1"/>
    <col min="18" max="18" width="11.5703125" bestFit="1" customWidth="1"/>
    <col min="19" max="20" width="13.5703125" bestFit="1" customWidth="1"/>
  </cols>
  <sheetData>
    <row r="2" spans="2:21" ht="23.25" x14ac:dyDescent="0.35">
      <c r="B2" s="20" t="s">
        <v>164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2:21" x14ac:dyDescent="0.25">
      <c r="B3" s="6" t="s">
        <v>0</v>
      </c>
      <c r="C3" s="7" t="s">
        <v>1</v>
      </c>
      <c r="D3" s="7" t="s">
        <v>2</v>
      </c>
      <c r="E3" s="7" t="s">
        <v>36</v>
      </c>
      <c r="F3" s="7" t="s">
        <v>16</v>
      </c>
      <c r="G3" s="7" t="s">
        <v>17</v>
      </c>
      <c r="H3" s="7" t="s">
        <v>20</v>
      </c>
      <c r="I3" s="7" t="s">
        <v>21</v>
      </c>
      <c r="J3" s="7" t="s">
        <v>22</v>
      </c>
      <c r="K3" s="7" t="s">
        <v>23</v>
      </c>
      <c r="L3" s="8" t="s">
        <v>24</v>
      </c>
      <c r="N3" s="2" t="s">
        <v>163</v>
      </c>
      <c r="O3" s="2" t="s">
        <v>141</v>
      </c>
      <c r="P3" s="2" t="s">
        <v>144</v>
      </c>
      <c r="Q3" s="2" t="s">
        <v>145</v>
      </c>
      <c r="R3" s="2" t="s">
        <v>151</v>
      </c>
      <c r="S3" s="2" t="s">
        <v>142</v>
      </c>
      <c r="T3" s="2" t="s">
        <v>143</v>
      </c>
      <c r="U3" s="2" t="s">
        <v>152</v>
      </c>
    </row>
    <row r="4" spans="2:21" ht="14.25" customHeight="1" x14ac:dyDescent="0.25">
      <c r="B4" s="9" t="s">
        <v>117</v>
      </c>
      <c r="C4" s="10" t="s">
        <v>101</v>
      </c>
      <c r="D4" s="11">
        <v>400000</v>
      </c>
      <c r="E4" s="11" t="s">
        <v>66</v>
      </c>
      <c r="F4" s="11">
        <v>1</v>
      </c>
      <c r="G4" s="11" t="s">
        <v>34</v>
      </c>
      <c r="H4" s="11" t="s">
        <v>34</v>
      </c>
      <c r="I4" s="11" t="s">
        <v>43</v>
      </c>
      <c r="J4" s="11" t="s">
        <v>35</v>
      </c>
      <c r="K4" s="11" t="s">
        <v>35</v>
      </c>
      <c r="L4" s="12" t="s">
        <v>24</v>
      </c>
      <c r="N4" s="1" t="s">
        <v>147</v>
      </c>
      <c r="O4" s="1">
        <v>12</v>
      </c>
      <c r="P4" s="1">
        <v>1</v>
      </c>
      <c r="Q4" s="1">
        <v>12</v>
      </c>
      <c r="R4" s="1">
        <v>1</v>
      </c>
      <c r="S4" s="1">
        <v>3</v>
      </c>
      <c r="T4" s="1">
        <v>0</v>
      </c>
      <c r="U4" s="1">
        <v>1</v>
      </c>
    </row>
    <row r="5" spans="2:21" x14ac:dyDescent="0.25">
      <c r="B5" s="9" t="s">
        <v>28</v>
      </c>
      <c r="C5" s="10" t="s">
        <v>25</v>
      </c>
      <c r="D5" s="11" t="s">
        <v>43</v>
      </c>
      <c r="E5" s="11" t="s">
        <v>41</v>
      </c>
      <c r="F5" s="11">
        <v>0</v>
      </c>
      <c r="G5" s="11" t="s">
        <v>35</v>
      </c>
      <c r="H5" s="11" t="s">
        <v>35</v>
      </c>
      <c r="I5" s="11" t="s">
        <v>35</v>
      </c>
      <c r="J5" s="11" t="s">
        <v>35</v>
      </c>
      <c r="K5" s="11" t="s">
        <v>35</v>
      </c>
      <c r="L5" s="12" t="s">
        <v>24</v>
      </c>
      <c r="N5" s="1" t="s">
        <v>148</v>
      </c>
      <c r="O5" s="1">
        <v>18</v>
      </c>
      <c r="P5" s="1">
        <v>0</v>
      </c>
      <c r="Q5" s="1">
        <v>2</v>
      </c>
      <c r="R5" s="1">
        <v>0</v>
      </c>
      <c r="S5" s="1">
        <v>10</v>
      </c>
      <c r="T5" s="1">
        <v>4</v>
      </c>
      <c r="U5" s="1">
        <v>0</v>
      </c>
    </row>
    <row r="6" spans="2:21" x14ac:dyDescent="0.25">
      <c r="B6" s="9" t="s">
        <v>73</v>
      </c>
      <c r="C6" s="10" t="s">
        <v>74</v>
      </c>
      <c r="D6" s="11">
        <v>9000</v>
      </c>
      <c r="E6" s="11" t="s">
        <v>75</v>
      </c>
      <c r="F6" s="11">
        <v>4</v>
      </c>
      <c r="G6" s="11" t="s">
        <v>34</v>
      </c>
      <c r="H6" s="11" t="s">
        <v>35</v>
      </c>
      <c r="I6" s="11" t="s">
        <v>34</v>
      </c>
      <c r="J6" s="11" t="s">
        <v>34</v>
      </c>
      <c r="K6" s="11" t="s">
        <v>34</v>
      </c>
      <c r="L6" s="12" t="s">
        <v>37</v>
      </c>
      <c r="N6" s="1" t="s">
        <v>149</v>
      </c>
      <c r="O6" s="1">
        <v>2</v>
      </c>
      <c r="P6" s="1">
        <v>0</v>
      </c>
      <c r="Q6" s="1">
        <v>0</v>
      </c>
      <c r="R6" s="1">
        <v>0</v>
      </c>
      <c r="S6" s="1">
        <v>1</v>
      </c>
      <c r="T6" s="1">
        <v>0</v>
      </c>
      <c r="U6" s="1">
        <v>0</v>
      </c>
    </row>
    <row r="7" spans="2:21" x14ac:dyDescent="0.25">
      <c r="B7" s="9" t="s">
        <v>8</v>
      </c>
      <c r="C7" s="10" t="s">
        <v>9</v>
      </c>
      <c r="D7" s="11">
        <v>100000000</v>
      </c>
      <c r="E7" s="11" t="s">
        <v>100</v>
      </c>
      <c r="F7" s="11">
        <v>2</v>
      </c>
      <c r="G7" s="11" t="s">
        <v>35</v>
      </c>
      <c r="H7" s="11" t="s">
        <v>35</v>
      </c>
      <c r="I7" s="11" t="s">
        <v>34</v>
      </c>
      <c r="J7" s="11" t="s">
        <v>35</v>
      </c>
      <c r="K7" s="11" t="s">
        <v>34</v>
      </c>
      <c r="L7" s="12" t="s">
        <v>24</v>
      </c>
    </row>
    <row r="8" spans="2:21" x14ac:dyDescent="0.25">
      <c r="B8" s="9" t="s">
        <v>123</v>
      </c>
      <c r="C8" s="10" t="s">
        <v>106</v>
      </c>
      <c r="D8" s="11">
        <v>19000000</v>
      </c>
      <c r="E8" s="11" t="s">
        <v>66</v>
      </c>
      <c r="F8" s="11">
        <v>1</v>
      </c>
      <c r="G8" s="11" t="s">
        <v>35</v>
      </c>
      <c r="H8" s="11" t="s">
        <v>35</v>
      </c>
      <c r="I8" s="11" t="s">
        <v>35</v>
      </c>
      <c r="J8" s="11" t="s">
        <v>35</v>
      </c>
      <c r="K8" s="11" t="s">
        <v>35</v>
      </c>
      <c r="L8" s="12" t="s">
        <v>24</v>
      </c>
    </row>
    <row r="9" spans="2:21" x14ac:dyDescent="0.25">
      <c r="B9" s="9" t="s">
        <v>60</v>
      </c>
      <c r="C9" s="10" t="s">
        <v>61</v>
      </c>
      <c r="D9" s="11">
        <v>4000000</v>
      </c>
      <c r="E9" s="11" t="s">
        <v>44</v>
      </c>
      <c r="F9" s="11">
        <v>1</v>
      </c>
      <c r="G9" s="11" t="s">
        <v>34</v>
      </c>
      <c r="H9" s="11" t="s">
        <v>43</v>
      </c>
      <c r="I9" s="11" t="s">
        <v>43</v>
      </c>
      <c r="J9" s="11" t="s">
        <v>35</v>
      </c>
      <c r="K9" s="11" t="s">
        <v>35</v>
      </c>
      <c r="L9" s="12" t="s">
        <v>43</v>
      </c>
    </row>
    <row r="10" spans="2:21" x14ac:dyDescent="0.25">
      <c r="B10" s="9" t="s">
        <v>58</v>
      </c>
      <c r="C10" s="10" t="s">
        <v>57</v>
      </c>
      <c r="D10" s="11">
        <v>2000000</v>
      </c>
      <c r="E10" s="11" t="s">
        <v>44</v>
      </c>
      <c r="F10" s="11">
        <v>4</v>
      </c>
      <c r="G10" s="11" t="s">
        <v>35</v>
      </c>
      <c r="H10" s="11" t="s">
        <v>34</v>
      </c>
      <c r="I10" s="11" t="s">
        <v>34</v>
      </c>
      <c r="J10" s="11" t="s">
        <v>34</v>
      </c>
      <c r="K10" s="11" t="s">
        <v>34</v>
      </c>
      <c r="L10" s="12" t="s">
        <v>24</v>
      </c>
      <c r="N10" s="2" t="s">
        <v>163</v>
      </c>
      <c r="O10" s="2" t="s">
        <v>17</v>
      </c>
      <c r="P10" s="2" t="s">
        <v>20</v>
      </c>
      <c r="Q10" s="2" t="s">
        <v>21</v>
      </c>
      <c r="R10" s="2" t="s">
        <v>22</v>
      </c>
      <c r="S10" s="2" t="s">
        <v>23</v>
      </c>
      <c r="T10" s="1"/>
    </row>
    <row r="11" spans="2:21" x14ac:dyDescent="0.25">
      <c r="B11" s="9" t="s">
        <v>76</v>
      </c>
      <c r="C11" s="10" t="s">
        <v>77</v>
      </c>
      <c r="D11" s="11">
        <v>4000000</v>
      </c>
      <c r="E11" s="11" t="s">
        <v>142</v>
      </c>
      <c r="F11" s="11">
        <v>4</v>
      </c>
      <c r="G11" s="11" t="s">
        <v>34</v>
      </c>
      <c r="H11" s="11" t="s">
        <v>43</v>
      </c>
      <c r="I11" s="11" t="s">
        <v>34</v>
      </c>
      <c r="J11" s="11" t="s">
        <v>34</v>
      </c>
      <c r="K11" s="11" t="s">
        <v>34</v>
      </c>
      <c r="L11" s="12" t="s">
        <v>37</v>
      </c>
      <c r="N11" s="1" t="s">
        <v>147</v>
      </c>
      <c r="O11" s="1">
        <v>10</v>
      </c>
      <c r="P11" s="1">
        <v>3</v>
      </c>
      <c r="Q11" s="1">
        <v>5</v>
      </c>
      <c r="R11" s="1">
        <v>7</v>
      </c>
      <c r="S11" s="1">
        <v>6</v>
      </c>
      <c r="T11" s="1"/>
    </row>
    <row r="12" spans="2:21" x14ac:dyDescent="0.25">
      <c r="B12" s="9" t="s">
        <v>78</v>
      </c>
      <c r="C12" s="10" t="s">
        <v>79</v>
      </c>
      <c r="D12" s="11" t="s">
        <v>43</v>
      </c>
      <c r="E12" s="11" t="s">
        <v>44</v>
      </c>
      <c r="F12" s="11">
        <v>1</v>
      </c>
      <c r="G12" s="11" t="s">
        <v>34</v>
      </c>
      <c r="H12" s="11" t="s">
        <v>43</v>
      </c>
      <c r="I12" s="11" t="s">
        <v>35</v>
      </c>
      <c r="J12" s="11" t="s">
        <v>35</v>
      </c>
      <c r="K12" s="11" t="s">
        <v>35</v>
      </c>
      <c r="L12" s="12" t="s">
        <v>24</v>
      </c>
      <c r="N12" s="1" t="s">
        <v>148</v>
      </c>
      <c r="O12" s="1">
        <v>18</v>
      </c>
      <c r="P12" s="1">
        <v>10</v>
      </c>
      <c r="Q12" s="1">
        <v>13</v>
      </c>
      <c r="R12" s="1">
        <v>14</v>
      </c>
      <c r="S12" s="1">
        <v>13</v>
      </c>
      <c r="T12" s="1"/>
    </row>
    <row r="13" spans="2:21" x14ac:dyDescent="0.25">
      <c r="B13" s="9" t="s">
        <v>120</v>
      </c>
      <c r="C13" s="10" t="s">
        <v>107</v>
      </c>
      <c r="D13" s="11">
        <v>100000</v>
      </c>
      <c r="E13" s="11" t="s">
        <v>112</v>
      </c>
      <c r="F13" s="11">
        <v>1</v>
      </c>
      <c r="G13" s="11" t="s">
        <v>34</v>
      </c>
      <c r="H13" s="11" t="s">
        <v>43</v>
      </c>
      <c r="I13" s="11" t="s">
        <v>35</v>
      </c>
      <c r="J13" s="11" t="s">
        <v>35</v>
      </c>
      <c r="K13" s="11" t="s">
        <v>35</v>
      </c>
      <c r="L13" s="12" t="s">
        <v>37</v>
      </c>
      <c r="N13" s="1" t="s">
        <v>149</v>
      </c>
      <c r="O13" s="1">
        <v>2</v>
      </c>
      <c r="P13" s="1">
        <v>1</v>
      </c>
      <c r="Q13" s="1">
        <v>1</v>
      </c>
      <c r="R13" s="1">
        <v>1</v>
      </c>
      <c r="S13" s="1">
        <v>1</v>
      </c>
      <c r="T13" s="1"/>
    </row>
    <row r="14" spans="2:21" x14ac:dyDescent="0.25">
      <c r="B14" s="9" t="s">
        <v>130</v>
      </c>
      <c r="C14" s="10" t="s">
        <v>109</v>
      </c>
      <c r="D14" s="11">
        <v>1200000</v>
      </c>
      <c r="E14" s="11" t="s">
        <v>15</v>
      </c>
      <c r="F14" s="11">
        <v>1</v>
      </c>
      <c r="G14" s="11" t="s">
        <v>34</v>
      </c>
      <c r="H14" s="11" t="s">
        <v>43</v>
      </c>
      <c r="I14" s="11" t="s">
        <v>43</v>
      </c>
      <c r="J14" s="11" t="s">
        <v>35</v>
      </c>
      <c r="K14" s="11" t="s">
        <v>35</v>
      </c>
      <c r="L14" s="12" t="s">
        <v>37</v>
      </c>
    </row>
    <row r="15" spans="2:21" x14ac:dyDescent="0.25">
      <c r="B15" s="9" t="s">
        <v>63</v>
      </c>
      <c r="C15" s="10" t="s">
        <v>64</v>
      </c>
      <c r="D15" s="11">
        <v>2531630</v>
      </c>
      <c r="E15" s="11" t="s">
        <v>66</v>
      </c>
      <c r="F15" s="11">
        <v>0</v>
      </c>
      <c r="G15" s="11" t="s">
        <v>35</v>
      </c>
      <c r="H15" s="11" t="s">
        <v>43</v>
      </c>
      <c r="I15" s="11" t="s">
        <v>35</v>
      </c>
      <c r="J15" s="11" t="s">
        <v>35</v>
      </c>
      <c r="K15" s="11" t="s">
        <v>35</v>
      </c>
      <c r="L15" s="12" t="s">
        <v>24</v>
      </c>
    </row>
    <row r="16" spans="2:21" x14ac:dyDescent="0.25">
      <c r="B16" s="9" t="s">
        <v>131</v>
      </c>
      <c r="C16" s="10" t="s">
        <v>110</v>
      </c>
      <c r="D16" s="11" t="s">
        <v>43</v>
      </c>
      <c r="E16" s="11" t="s">
        <v>44</v>
      </c>
      <c r="F16" s="11">
        <v>0</v>
      </c>
      <c r="G16" s="11" t="s">
        <v>43</v>
      </c>
      <c r="H16" s="11" t="s">
        <v>43</v>
      </c>
      <c r="I16" s="11" t="s">
        <v>43</v>
      </c>
      <c r="J16" s="11" t="s">
        <v>35</v>
      </c>
      <c r="K16" s="11" t="s">
        <v>35</v>
      </c>
      <c r="L16" s="12" t="s">
        <v>43</v>
      </c>
      <c r="N16" s="2" t="s">
        <v>163</v>
      </c>
      <c r="O16" s="19" t="s">
        <v>24</v>
      </c>
      <c r="P16" s="19" t="s">
        <v>37</v>
      </c>
      <c r="Q16" s="19" t="s">
        <v>43</v>
      </c>
    </row>
    <row r="17" spans="2:22" x14ac:dyDescent="0.25">
      <c r="B17" s="9" t="s">
        <v>132</v>
      </c>
      <c r="C17" s="10" t="s">
        <v>110</v>
      </c>
      <c r="D17" s="11" t="s">
        <v>43</v>
      </c>
      <c r="E17" s="11" t="s">
        <v>112</v>
      </c>
      <c r="F17" s="11">
        <v>2</v>
      </c>
      <c r="G17" s="11" t="s">
        <v>34</v>
      </c>
      <c r="H17" s="11" t="s">
        <v>43</v>
      </c>
      <c r="I17" s="11" t="s">
        <v>43</v>
      </c>
      <c r="J17" s="11" t="s">
        <v>34</v>
      </c>
      <c r="K17" s="11" t="s">
        <v>35</v>
      </c>
      <c r="L17" s="12" t="s">
        <v>37</v>
      </c>
      <c r="N17" s="1" t="s">
        <v>147</v>
      </c>
      <c r="O17" s="1">
        <v>9</v>
      </c>
      <c r="P17" s="1">
        <v>8</v>
      </c>
      <c r="Q17" s="1">
        <v>2</v>
      </c>
    </row>
    <row r="18" spans="2:22" x14ac:dyDescent="0.25">
      <c r="B18" s="9" t="s">
        <v>12</v>
      </c>
      <c r="C18" s="10" t="s">
        <v>13</v>
      </c>
      <c r="D18" s="11">
        <v>2100000</v>
      </c>
      <c r="E18" s="11" t="s">
        <v>45</v>
      </c>
      <c r="F18" s="11">
        <v>5</v>
      </c>
      <c r="G18" s="11" t="s">
        <v>34</v>
      </c>
      <c r="H18" s="11" t="s">
        <v>34</v>
      </c>
      <c r="I18" s="11" t="s">
        <v>34</v>
      </c>
      <c r="J18" s="11" t="s">
        <v>34</v>
      </c>
      <c r="K18" s="11" t="s">
        <v>34</v>
      </c>
      <c r="L18" s="12" t="s">
        <v>24</v>
      </c>
      <c r="N18" s="1" t="s">
        <v>148</v>
      </c>
      <c r="O18" s="1">
        <v>4</v>
      </c>
      <c r="P18" s="1">
        <v>15</v>
      </c>
      <c r="Q18" s="1">
        <v>0</v>
      </c>
    </row>
    <row r="19" spans="2:22" x14ac:dyDescent="0.25">
      <c r="B19" s="9" t="s">
        <v>83</v>
      </c>
      <c r="C19" s="10" t="s">
        <v>90</v>
      </c>
      <c r="D19" s="11">
        <v>355000</v>
      </c>
      <c r="E19" s="11" t="s">
        <v>66</v>
      </c>
      <c r="F19" s="11">
        <v>0</v>
      </c>
      <c r="G19" s="11" t="s">
        <v>43</v>
      </c>
      <c r="H19" s="11" t="s">
        <v>43</v>
      </c>
      <c r="I19" s="11" t="s">
        <v>43</v>
      </c>
      <c r="J19" s="11" t="s">
        <v>35</v>
      </c>
      <c r="K19" s="11" t="s">
        <v>35</v>
      </c>
      <c r="L19" s="12" t="s">
        <v>37</v>
      </c>
      <c r="N19" s="1" t="s">
        <v>149</v>
      </c>
      <c r="O19" s="1">
        <v>1</v>
      </c>
      <c r="P19" s="1">
        <v>1</v>
      </c>
      <c r="Q19" s="1">
        <v>0</v>
      </c>
    </row>
    <row r="20" spans="2:22" x14ac:dyDescent="0.25">
      <c r="B20" s="9" t="s">
        <v>84</v>
      </c>
      <c r="C20" s="10" t="s">
        <v>85</v>
      </c>
      <c r="D20" s="11">
        <v>14186000</v>
      </c>
      <c r="E20" s="11" t="s">
        <v>66</v>
      </c>
      <c r="F20" s="11">
        <v>1</v>
      </c>
      <c r="G20" s="11" t="s">
        <v>35</v>
      </c>
      <c r="H20" s="11" t="s">
        <v>35</v>
      </c>
      <c r="I20" s="11" t="s">
        <v>35</v>
      </c>
      <c r="J20" s="11" t="s">
        <v>34</v>
      </c>
      <c r="K20" s="11" t="s">
        <v>35</v>
      </c>
      <c r="L20" s="12" t="s">
        <v>24</v>
      </c>
    </row>
    <row r="21" spans="2:22" x14ac:dyDescent="0.25">
      <c r="B21" s="9" t="s">
        <v>133</v>
      </c>
      <c r="C21" s="10" t="s">
        <v>111</v>
      </c>
      <c r="D21" s="11" t="s">
        <v>43</v>
      </c>
      <c r="E21" s="11" t="s">
        <v>15</v>
      </c>
      <c r="F21" s="11">
        <v>1</v>
      </c>
      <c r="G21" s="11" t="s">
        <v>35</v>
      </c>
      <c r="H21" s="11" t="s">
        <v>43</v>
      </c>
      <c r="I21" s="11" t="s">
        <v>43</v>
      </c>
      <c r="J21" s="11" t="s">
        <v>34</v>
      </c>
      <c r="K21" s="11" t="s">
        <v>43</v>
      </c>
      <c r="L21" s="12" t="s">
        <v>37</v>
      </c>
    </row>
    <row r="22" spans="2:22" x14ac:dyDescent="0.25">
      <c r="B22" s="13" t="s">
        <v>91</v>
      </c>
      <c r="C22" s="14" t="s">
        <v>92</v>
      </c>
      <c r="D22" s="15">
        <v>382160</v>
      </c>
      <c r="E22" s="15" t="s">
        <v>15</v>
      </c>
      <c r="F22" s="15">
        <v>2</v>
      </c>
      <c r="G22" s="15" t="s">
        <v>34</v>
      </c>
      <c r="H22" s="15" t="s">
        <v>43</v>
      </c>
      <c r="I22" s="15" t="s">
        <v>35</v>
      </c>
      <c r="J22" s="15" t="s">
        <v>35</v>
      </c>
      <c r="K22" s="15" t="s">
        <v>34</v>
      </c>
      <c r="L22" s="16" t="s">
        <v>37</v>
      </c>
    </row>
    <row r="23" spans="2:22" x14ac:dyDescent="0.25">
      <c r="B23" s="10"/>
      <c r="C23" s="10"/>
      <c r="D23" s="11"/>
      <c r="E23" s="11"/>
      <c r="F23" s="11"/>
      <c r="H23" s="11"/>
      <c r="I23" s="11"/>
      <c r="J23" s="11"/>
      <c r="L23" s="11"/>
    </row>
    <row r="24" spans="2:22" ht="23.25" x14ac:dyDescent="0.35">
      <c r="B24" s="20" t="s">
        <v>165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2:22" x14ac:dyDescent="0.25">
      <c r="B25" s="6" t="s">
        <v>0</v>
      </c>
      <c r="C25" s="7" t="s">
        <v>1</v>
      </c>
      <c r="D25" s="7" t="s">
        <v>2</v>
      </c>
      <c r="E25" s="7" t="s">
        <v>36</v>
      </c>
      <c r="F25" s="7" t="s">
        <v>16</v>
      </c>
      <c r="G25" s="7" t="s">
        <v>17</v>
      </c>
      <c r="H25" s="7" t="s">
        <v>20</v>
      </c>
      <c r="I25" s="7" t="s">
        <v>21</v>
      </c>
      <c r="J25" s="7" t="s">
        <v>22</v>
      </c>
      <c r="K25" s="7" t="s">
        <v>23</v>
      </c>
      <c r="L25" s="8" t="s">
        <v>24</v>
      </c>
    </row>
    <row r="26" spans="2:22" x14ac:dyDescent="0.25">
      <c r="B26" s="9" t="s">
        <v>27</v>
      </c>
      <c r="C26" s="10" t="s">
        <v>26</v>
      </c>
      <c r="D26" s="11">
        <v>600000</v>
      </c>
      <c r="E26" s="11" t="s">
        <v>112</v>
      </c>
      <c r="F26" s="11">
        <v>5</v>
      </c>
      <c r="G26" s="11" t="s">
        <v>34</v>
      </c>
      <c r="H26" s="11" t="s">
        <v>34</v>
      </c>
      <c r="I26" s="11" t="s">
        <v>34</v>
      </c>
      <c r="J26" s="11" t="s">
        <v>34</v>
      </c>
      <c r="K26" s="11" t="s">
        <v>34</v>
      </c>
      <c r="L26" s="12" t="s">
        <v>37</v>
      </c>
    </row>
    <row r="27" spans="2:22" x14ac:dyDescent="0.25">
      <c r="B27" s="9" t="s">
        <v>116</v>
      </c>
      <c r="C27" s="10" t="s">
        <v>102</v>
      </c>
      <c r="D27" s="11" t="s">
        <v>42</v>
      </c>
      <c r="E27" s="11" t="s">
        <v>162</v>
      </c>
      <c r="F27" s="11">
        <v>1</v>
      </c>
      <c r="G27" s="11" t="s">
        <v>34</v>
      </c>
      <c r="H27" s="11" t="s">
        <v>43</v>
      </c>
      <c r="I27" s="11" t="s">
        <v>43</v>
      </c>
      <c r="J27" s="11" t="s">
        <v>43</v>
      </c>
      <c r="K27" s="11" t="s">
        <v>43</v>
      </c>
      <c r="L27" s="12" t="s">
        <v>37</v>
      </c>
    </row>
    <row r="28" spans="2:22" x14ac:dyDescent="0.25">
      <c r="B28" s="9" t="s">
        <v>115</v>
      </c>
      <c r="C28" s="10" t="s">
        <v>103</v>
      </c>
      <c r="D28" s="11">
        <v>55000</v>
      </c>
      <c r="E28" s="11" t="s">
        <v>44</v>
      </c>
      <c r="F28" s="11">
        <v>5</v>
      </c>
      <c r="G28" s="11" t="s">
        <v>34</v>
      </c>
      <c r="H28" s="11" t="s">
        <v>34</v>
      </c>
      <c r="I28" s="11" t="s">
        <v>34</v>
      </c>
      <c r="J28" s="11" t="s">
        <v>34</v>
      </c>
      <c r="K28" s="11" t="s">
        <v>34</v>
      </c>
      <c r="L28" s="12" t="s">
        <v>24</v>
      </c>
    </row>
    <row r="29" spans="2:22" x14ac:dyDescent="0.25">
      <c r="B29" s="9" t="s">
        <v>114</v>
      </c>
      <c r="C29" s="10" t="s">
        <v>104</v>
      </c>
      <c r="D29" s="11">
        <v>277000</v>
      </c>
      <c r="E29" s="11" t="s">
        <v>15</v>
      </c>
      <c r="F29" s="11">
        <v>5</v>
      </c>
      <c r="G29" s="11" t="s">
        <v>34</v>
      </c>
      <c r="H29" s="11" t="s">
        <v>34</v>
      </c>
      <c r="I29" s="11" t="s">
        <v>34</v>
      </c>
      <c r="J29" s="11" t="s">
        <v>34</v>
      </c>
      <c r="K29" s="11" t="s">
        <v>34</v>
      </c>
      <c r="L29" s="12" t="s">
        <v>37</v>
      </c>
    </row>
    <row r="30" spans="2:22" x14ac:dyDescent="0.25">
      <c r="B30" s="9" t="s">
        <v>69</v>
      </c>
      <c r="C30" s="10" t="s">
        <v>67</v>
      </c>
      <c r="D30" s="11" t="s">
        <v>43</v>
      </c>
      <c r="E30" s="11" t="s">
        <v>112</v>
      </c>
      <c r="F30" s="11">
        <v>5</v>
      </c>
      <c r="G30" s="11" t="s">
        <v>34</v>
      </c>
      <c r="H30" s="11" t="s">
        <v>34</v>
      </c>
      <c r="I30" s="11" t="s">
        <v>34</v>
      </c>
      <c r="J30" s="11" t="s">
        <v>34</v>
      </c>
      <c r="K30" s="11" t="s">
        <v>34</v>
      </c>
      <c r="L30" s="12" t="s">
        <v>37</v>
      </c>
    </row>
    <row r="31" spans="2:22" x14ac:dyDescent="0.25">
      <c r="B31" s="9" t="s">
        <v>122</v>
      </c>
      <c r="C31" s="10" t="s">
        <v>105</v>
      </c>
      <c r="D31" s="11" t="s">
        <v>42</v>
      </c>
      <c r="E31" s="11" t="s">
        <v>118</v>
      </c>
      <c r="F31" s="11">
        <v>2</v>
      </c>
      <c r="G31" s="11" t="s">
        <v>34</v>
      </c>
      <c r="H31" s="11" t="s">
        <v>43</v>
      </c>
      <c r="I31" s="11" t="s">
        <v>43</v>
      </c>
      <c r="J31" s="11" t="s">
        <v>34</v>
      </c>
      <c r="K31" s="11" t="s">
        <v>43</v>
      </c>
      <c r="L31" s="12" t="s">
        <v>37</v>
      </c>
      <c r="V31" s="1"/>
    </row>
    <row r="32" spans="2:22" x14ac:dyDescent="0.25">
      <c r="B32" s="9" t="s">
        <v>68</v>
      </c>
      <c r="C32" s="10" t="s">
        <v>113</v>
      </c>
      <c r="D32" s="11" t="s">
        <v>42</v>
      </c>
      <c r="E32" s="11" t="s">
        <v>72</v>
      </c>
      <c r="F32" s="11">
        <v>3</v>
      </c>
      <c r="G32" s="11" t="s">
        <v>34</v>
      </c>
      <c r="H32" s="11" t="s">
        <v>43</v>
      </c>
      <c r="I32" s="11" t="s">
        <v>43</v>
      </c>
      <c r="J32" s="11" t="s">
        <v>34</v>
      </c>
      <c r="K32" s="11" t="s">
        <v>34</v>
      </c>
      <c r="L32" s="12" t="s">
        <v>37</v>
      </c>
      <c r="V32" s="1"/>
    </row>
    <row r="33" spans="2:22" x14ac:dyDescent="0.25">
      <c r="B33" s="9" t="s">
        <v>5</v>
      </c>
      <c r="C33" s="10" t="s">
        <v>7</v>
      </c>
      <c r="D33" s="11">
        <v>1900000</v>
      </c>
      <c r="E33" s="11" t="s">
        <v>15</v>
      </c>
      <c r="F33" s="11">
        <v>1</v>
      </c>
      <c r="G33" s="11" t="s">
        <v>34</v>
      </c>
      <c r="H33" s="11" t="s">
        <v>43</v>
      </c>
      <c r="I33" s="11" t="s">
        <v>43</v>
      </c>
      <c r="J33" s="11" t="s">
        <v>43</v>
      </c>
      <c r="K33" s="11" t="s">
        <v>43</v>
      </c>
      <c r="L33" s="12" t="s">
        <v>24</v>
      </c>
      <c r="V33" s="1"/>
    </row>
    <row r="34" spans="2:22" x14ac:dyDescent="0.25">
      <c r="B34" s="9" t="s">
        <v>53</v>
      </c>
      <c r="C34" s="10" t="s">
        <v>52</v>
      </c>
      <c r="D34" s="11">
        <v>14000000</v>
      </c>
      <c r="E34" s="11" t="s">
        <v>112</v>
      </c>
      <c r="F34" s="11">
        <v>4</v>
      </c>
      <c r="G34" s="11" t="s">
        <v>34</v>
      </c>
      <c r="H34" s="11" t="s">
        <v>43</v>
      </c>
      <c r="I34" s="11" t="s">
        <v>34</v>
      </c>
      <c r="J34" s="11" t="s">
        <v>34</v>
      </c>
      <c r="K34" s="11" t="s">
        <v>34</v>
      </c>
      <c r="L34" s="12" t="s">
        <v>37</v>
      </c>
      <c r="V34" s="1"/>
    </row>
    <row r="35" spans="2:22" x14ac:dyDescent="0.25">
      <c r="B35" s="9" t="s">
        <v>138</v>
      </c>
      <c r="C35" s="10" t="s">
        <v>139</v>
      </c>
      <c r="D35" s="11">
        <v>9000</v>
      </c>
      <c r="E35" s="11" t="s">
        <v>15</v>
      </c>
      <c r="F35" s="11">
        <v>5</v>
      </c>
      <c r="G35" s="11" t="s">
        <v>34</v>
      </c>
      <c r="H35" s="11" t="s">
        <v>34</v>
      </c>
      <c r="I35" s="11" t="s">
        <v>34</v>
      </c>
      <c r="J35" s="11" t="s">
        <v>34</v>
      </c>
      <c r="K35" s="11" t="s">
        <v>34</v>
      </c>
      <c r="L35" s="12" t="s">
        <v>37</v>
      </c>
    </row>
    <row r="36" spans="2:22" x14ac:dyDescent="0.25">
      <c r="B36" s="9" t="s">
        <v>97</v>
      </c>
      <c r="C36" s="10" t="s">
        <v>96</v>
      </c>
      <c r="D36" s="11">
        <v>10000</v>
      </c>
      <c r="E36" s="11" t="s">
        <v>15</v>
      </c>
      <c r="F36" s="11">
        <v>4</v>
      </c>
      <c r="G36" s="11" t="s">
        <v>34</v>
      </c>
      <c r="H36" s="11" t="s">
        <v>43</v>
      </c>
      <c r="I36" s="11" t="s">
        <v>34</v>
      </c>
      <c r="J36" s="11" t="s">
        <v>34</v>
      </c>
      <c r="K36" s="11" t="s">
        <v>34</v>
      </c>
      <c r="L36" s="12" t="s">
        <v>24</v>
      </c>
    </row>
    <row r="37" spans="2:22" x14ac:dyDescent="0.25">
      <c r="B37" s="9" t="s">
        <v>135</v>
      </c>
      <c r="C37" s="10" t="s">
        <v>134</v>
      </c>
      <c r="D37" s="11" t="s">
        <v>42</v>
      </c>
      <c r="E37" s="11" t="s">
        <v>112</v>
      </c>
      <c r="F37" s="11">
        <v>5</v>
      </c>
      <c r="G37" s="11" t="s">
        <v>34</v>
      </c>
      <c r="H37" s="11" t="s">
        <v>34</v>
      </c>
      <c r="I37" s="11" t="s">
        <v>34</v>
      </c>
      <c r="J37" s="11" t="s">
        <v>34</v>
      </c>
      <c r="K37" s="11" t="s">
        <v>34</v>
      </c>
      <c r="L37" s="12" t="s">
        <v>37</v>
      </c>
    </row>
    <row r="38" spans="2:22" x14ac:dyDescent="0.25">
      <c r="B38" s="9" t="s">
        <v>10</v>
      </c>
      <c r="C38" s="10" t="s">
        <v>11</v>
      </c>
      <c r="D38" s="11">
        <v>2200000</v>
      </c>
      <c r="E38" s="11" t="s">
        <v>112</v>
      </c>
      <c r="F38" s="11">
        <v>5</v>
      </c>
      <c r="G38" s="11" t="s">
        <v>34</v>
      </c>
      <c r="H38" s="11" t="s">
        <v>34</v>
      </c>
      <c r="I38" s="11" t="s">
        <v>34</v>
      </c>
      <c r="J38" s="11" t="s">
        <v>34</v>
      </c>
      <c r="K38" s="11" t="s">
        <v>34</v>
      </c>
      <c r="L38" s="12" t="s">
        <v>37</v>
      </c>
    </row>
    <row r="39" spans="2:22" x14ac:dyDescent="0.25">
      <c r="B39" s="9" t="s">
        <v>128</v>
      </c>
      <c r="C39" s="10" t="s">
        <v>108</v>
      </c>
      <c r="D39" s="11" t="s">
        <v>43</v>
      </c>
      <c r="E39" s="11" t="s">
        <v>15</v>
      </c>
      <c r="F39" s="11">
        <v>5</v>
      </c>
      <c r="G39" s="11" t="s">
        <v>34</v>
      </c>
      <c r="H39" s="11" t="s">
        <v>34</v>
      </c>
      <c r="I39" s="11" t="s">
        <v>34</v>
      </c>
      <c r="J39" s="11" t="s">
        <v>34</v>
      </c>
      <c r="K39" s="11" t="s">
        <v>34</v>
      </c>
      <c r="L39" s="12" t="s">
        <v>37</v>
      </c>
    </row>
    <row r="40" spans="2:22" x14ac:dyDescent="0.25">
      <c r="B40" s="9" t="s">
        <v>127</v>
      </c>
      <c r="C40" s="10" t="s">
        <v>119</v>
      </c>
      <c r="D40" s="11" t="s">
        <v>43</v>
      </c>
      <c r="E40" s="11" t="s">
        <v>112</v>
      </c>
      <c r="F40" s="11">
        <v>1</v>
      </c>
      <c r="G40" s="11" t="s">
        <v>34</v>
      </c>
      <c r="H40" s="11" t="s">
        <v>43</v>
      </c>
      <c r="I40" s="11" t="s">
        <v>43</v>
      </c>
      <c r="J40" s="11" t="s">
        <v>43</v>
      </c>
      <c r="K40" s="11" t="s">
        <v>43</v>
      </c>
      <c r="L40" s="12" t="s">
        <v>37</v>
      </c>
    </row>
    <row r="41" spans="2:22" x14ac:dyDescent="0.25">
      <c r="B41" s="9" t="s">
        <v>69</v>
      </c>
      <c r="C41" s="10" t="s">
        <v>81</v>
      </c>
      <c r="D41" s="11">
        <v>1427000</v>
      </c>
      <c r="E41" s="11" t="s">
        <v>66</v>
      </c>
      <c r="F41" s="11">
        <v>3</v>
      </c>
      <c r="G41" s="11" t="s">
        <v>34</v>
      </c>
      <c r="H41" s="11" t="s">
        <v>34</v>
      </c>
      <c r="I41" s="11" t="s">
        <v>34</v>
      </c>
      <c r="J41" s="11" t="s">
        <v>35</v>
      </c>
      <c r="K41" s="11" t="s">
        <v>35</v>
      </c>
      <c r="L41" s="12" t="s">
        <v>24</v>
      </c>
    </row>
    <row r="42" spans="2:22" x14ac:dyDescent="0.25">
      <c r="B42" s="9" t="s">
        <v>54</v>
      </c>
      <c r="C42" s="10" t="s">
        <v>51</v>
      </c>
      <c r="D42" s="11">
        <v>41665</v>
      </c>
      <c r="E42" s="11" t="s">
        <v>15</v>
      </c>
      <c r="F42" s="11">
        <v>4</v>
      </c>
      <c r="G42" s="11" t="s">
        <v>34</v>
      </c>
      <c r="H42" s="11" t="s">
        <v>43</v>
      </c>
      <c r="I42" s="11" t="s">
        <v>34</v>
      </c>
      <c r="J42" s="11" t="s">
        <v>34</v>
      </c>
      <c r="K42" s="11" t="s">
        <v>34</v>
      </c>
      <c r="L42" s="12" t="s">
        <v>37</v>
      </c>
    </row>
    <row r="43" spans="2:22" x14ac:dyDescent="0.25">
      <c r="B43" s="9" t="s">
        <v>33</v>
      </c>
      <c r="C43" s="10" t="s">
        <v>32</v>
      </c>
      <c r="D43" s="11">
        <v>500000</v>
      </c>
      <c r="E43" s="11" t="s">
        <v>118</v>
      </c>
      <c r="F43" s="11">
        <v>5</v>
      </c>
      <c r="G43" s="11" t="s">
        <v>34</v>
      </c>
      <c r="H43" s="11" t="s">
        <v>34</v>
      </c>
      <c r="I43" s="11" t="s">
        <v>34</v>
      </c>
      <c r="J43" s="11" t="s">
        <v>34</v>
      </c>
      <c r="K43" s="11" t="s">
        <v>34</v>
      </c>
      <c r="L43" s="12" t="s">
        <v>37</v>
      </c>
    </row>
    <row r="44" spans="2:22" x14ac:dyDescent="0.25">
      <c r="B44" s="13" t="s">
        <v>86</v>
      </c>
      <c r="C44" s="14" t="s">
        <v>87</v>
      </c>
      <c r="D44" s="15" t="s">
        <v>42</v>
      </c>
      <c r="E44" s="15" t="s">
        <v>112</v>
      </c>
      <c r="F44" s="15"/>
      <c r="G44" s="15" t="s">
        <v>43</v>
      </c>
      <c r="H44" s="15" t="s">
        <v>43</v>
      </c>
      <c r="I44" s="15" t="s">
        <v>43</v>
      </c>
      <c r="J44" s="15" t="s">
        <v>43</v>
      </c>
      <c r="K44" s="15" t="s">
        <v>43</v>
      </c>
      <c r="L44" s="16" t="s">
        <v>37</v>
      </c>
    </row>
    <row r="45" spans="2:22" x14ac:dyDescent="0.25"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</row>
    <row r="46" spans="2:22" ht="23.25" x14ac:dyDescent="0.35">
      <c r="B46" s="20" t="s">
        <v>166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spans="2:22" x14ac:dyDescent="0.25">
      <c r="B47" s="6" t="s">
        <v>0</v>
      </c>
      <c r="C47" s="7" t="s">
        <v>1</v>
      </c>
      <c r="D47" s="7" t="s">
        <v>2</v>
      </c>
      <c r="E47" s="7" t="s">
        <v>36</v>
      </c>
      <c r="F47" s="7" t="s">
        <v>16</v>
      </c>
      <c r="G47" s="7" t="s">
        <v>17</v>
      </c>
      <c r="H47" s="7" t="s">
        <v>20</v>
      </c>
      <c r="I47" s="7" t="s">
        <v>21</v>
      </c>
      <c r="J47" s="7" t="s">
        <v>22</v>
      </c>
      <c r="K47" s="7" t="s">
        <v>23</v>
      </c>
      <c r="L47" s="8" t="s">
        <v>24</v>
      </c>
    </row>
    <row r="48" spans="2:22" x14ac:dyDescent="0.25">
      <c r="B48" s="17" t="s">
        <v>4</v>
      </c>
      <c r="C48" s="11" t="s">
        <v>6</v>
      </c>
      <c r="D48" s="11" t="s">
        <v>42</v>
      </c>
      <c r="E48" s="11" t="s">
        <v>112</v>
      </c>
      <c r="F48" s="11">
        <v>5</v>
      </c>
      <c r="G48" s="11" t="s">
        <v>34</v>
      </c>
      <c r="H48" s="11" t="s">
        <v>34</v>
      </c>
      <c r="I48" s="11" t="s">
        <v>34</v>
      </c>
      <c r="J48" s="11" t="s">
        <v>34</v>
      </c>
      <c r="K48" s="11" t="s">
        <v>34</v>
      </c>
      <c r="L48" s="12" t="s">
        <v>37</v>
      </c>
    </row>
    <row r="49" spans="2:12" x14ac:dyDescent="0.25">
      <c r="B49" s="18" t="s">
        <v>47</v>
      </c>
      <c r="C49" s="15" t="s">
        <v>48</v>
      </c>
      <c r="D49" s="15" t="s">
        <v>43</v>
      </c>
      <c r="E49" s="15" t="s">
        <v>15</v>
      </c>
      <c r="F49" s="15">
        <v>1</v>
      </c>
      <c r="G49" s="15" t="s">
        <v>34</v>
      </c>
      <c r="H49" s="15" t="s">
        <v>43</v>
      </c>
      <c r="I49" s="15" t="s">
        <v>35</v>
      </c>
      <c r="J49" s="15" t="s">
        <v>35</v>
      </c>
      <c r="K49" s="15" t="s">
        <v>35</v>
      </c>
      <c r="L49" s="16" t="s">
        <v>24</v>
      </c>
    </row>
  </sheetData>
  <mergeCells count="3">
    <mergeCell ref="B2:L2"/>
    <mergeCell ref="B24:L24"/>
    <mergeCell ref="B46:L4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1259-9D46-45AD-AAD5-1392150421D5}">
  <dimension ref="A3:J30"/>
  <sheetViews>
    <sheetView topLeftCell="A4" workbookViewId="0">
      <selection activeCell="K27" sqref="K27"/>
    </sheetView>
  </sheetViews>
  <sheetFormatPr defaultRowHeight="15" x14ac:dyDescent="0.25"/>
  <cols>
    <col min="1" max="1" width="14" bestFit="1" customWidth="1"/>
    <col min="2" max="2" width="14.28515625" bestFit="1" customWidth="1"/>
    <col min="6" max="6" width="13.42578125" bestFit="1" customWidth="1"/>
    <col min="7" max="7" width="13.5703125" bestFit="1" customWidth="1"/>
  </cols>
  <sheetData>
    <row r="3" spans="1:10" x14ac:dyDescent="0.25">
      <c r="A3" s="1" t="s">
        <v>140</v>
      </c>
      <c r="B3" s="1" t="s">
        <v>141</v>
      </c>
      <c r="C3" s="1" t="s">
        <v>144</v>
      </c>
      <c r="D3" s="1" t="s">
        <v>145</v>
      </c>
      <c r="E3" s="1" t="s">
        <v>146</v>
      </c>
      <c r="F3" s="1" t="s">
        <v>151</v>
      </c>
      <c r="G3" s="1" t="s">
        <v>142</v>
      </c>
      <c r="H3" s="1" t="s">
        <v>143</v>
      </c>
      <c r="I3" s="1" t="s">
        <v>152</v>
      </c>
      <c r="J3" s="1" t="s">
        <v>43</v>
      </c>
    </row>
    <row r="4" spans="1:10" x14ac:dyDescent="0.25">
      <c r="A4" s="1" t="s">
        <v>147</v>
      </c>
      <c r="B4" s="1">
        <v>10</v>
      </c>
      <c r="C4" s="1">
        <v>1</v>
      </c>
      <c r="D4" s="1">
        <v>11</v>
      </c>
      <c r="E4" s="1">
        <v>1</v>
      </c>
      <c r="F4" s="1">
        <v>1</v>
      </c>
      <c r="G4" s="1">
        <v>2</v>
      </c>
      <c r="H4" s="1">
        <v>0</v>
      </c>
      <c r="I4" s="1">
        <v>1</v>
      </c>
      <c r="J4" s="1">
        <v>3</v>
      </c>
    </row>
    <row r="5" spans="1:10" x14ac:dyDescent="0.25">
      <c r="A5" s="1" t="s">
        <v>148</v>
      </c>
      <c r="B5" s="1">
        <v>17</v>
      </c>
      <c r="C5" s="1">
        <v>0</v>
      </c>
      <c r="D5" s="1">
        <v>2</v>
      </c>
      <c r="E5" s="1">
        <v>0</v>
      </c>
      <c r="F5" s="1">
        <v>0</v>
      </c>
      <c r="G5" s="1">
        <v>10</v>
      </c>
      <c r="H5" s="1">
        <v>3</v>
      </c>
      <c r="I5" s="1">
        <v>0</v>
      </c>
      <c r="J5" s="1">
        <v>1</v>
      </c>
    </row>
    <row r="6" spans="1:10" x14ac:dyDescent="0.25">
      <c r="A6" s="1" t="s">
        <v>149</v>
      </c>
      <c r="B6" s="1">
        <v>2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</row>
    <row r="27" spans="1:7" x14ac:dyDescent="0.25">
      <c r="A27" s="1" t="s">
        <v>140</v>
      </c>
      <c r="B27" s="1" t="s">
        <v>150</v>
      </c>
      <c r="C27" s="1" t="s">
        <v>17</v>
      </c>
      <c r="D27" s="1" t="s">
        <v>43</v>
      </c>
      <c r="E27" s="1" t="s">
        <v>24</v>
      </c>
      <c r="F27" s="1" t="s">
        <v>37</v>
      </c>
      <c r="G27" s="1" t="s">
        <v>43</v>
      </c>
    </row>
    <row r="28" spans="1:7" x14ac:dyDescent="0.25">
      <c r="A28" s="1" t="s">
        <v>147</v>
      </c>
      <c r="B28" s="1">
        <v>5</v>
      </c>
      <c r="C28" s="1">
        <v>9</v>
      </c>
      <c r="D28" s="1">
        <v>7</v>
      </c>
      <c r="E28" s="1">
        <v>5</v>
      </c>
      <c r="F28" s="1">
        <v>5</v>
      </c>
      <c r="G28" s="1">
        <v>11</v>
      </c>
    </row>
    <row r="29" spans="1:7" x14ac:dyDescent="0.25">
      <c r="A29" s="1" t="s">
        <v>148</v>
      </c>
      <c r="B29" s="1">
        <v>0</v>
      </c>
      <c r="C29" s="1">
        <v>17</v>
      </c>
      <c r="D29" s="1">
        <v>2</v>
      </c>
      <c r="E29" s="1">
        <v>3</v>
      </c>
      <c r="F29" s="1">
        <v>12</v>
      </c>
      <c r="G29" s="1">
        <v>4</v>
      </c>
    </row>
    <row r="30" spans="1:7" x14ac:dyDescent="0.25">
      <c r="A30" s="1" t="s">
        <v>149</v>
      </c>
      <c r="B30" s="1">
        <v>0</v>
      </c>
      <c r="C30" s="1">
        <v>2</v>
      </c>
      <c r="D30" s="1">
        <v>0</v>
      </c>
      <c r="E30" s="1">
        <v>1</v>
      </c>
      <c r="F30" s="1">
        <v>1</v>
      </c>
      <c r="G30" s="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3DFA-E9A9-436B-9F0B-54E429D5D325}">
  <dimension ref="A1:G27"/>
  <sheetViews>
    <sheetView tabSelected="1" workbookViewId="0">
      <selection activeCell="J21" sqref="J21"/>
    </sheetView>
  </sheetViews>
  <sheetFormatPr defaultRowHeight="15" x14ac:dyDescent="0.25"/>
  <cols>
    <col min="1" max="1" width="24.140625" bestFit="1" customWidth="1"/>
    <col min="3" max="3" width="15.28515625" bestFit="1" customWidth="1"/>
    <col min="4" max="4" width="13.28515625" bestFit="1" customWidth="1"/>
    <col min="5" max="5" width="16.85546875" bestFit="1" customWidth="1"/>
    <col min="6" max="6" width="18.28515625" bestFit="1" customWidth="1"/>
    <col min="7" max="7" width="19" bestFit="1" customWidth="1"/>
  </cols>
  <sheetData>
    <row r="1" spans="1:7" x14ac:dyDescent="0.25">
      <c r="A1" s="5"/>
      <c r="B1" s="5"/>
      <c r="C1" s="5"/>
      <c r="D1" s="5"/>
      <c r="E1" s="5"/>
      <c r="F1" s="5"/>
      <c r="G1" s="5"/>
    </row>
    <row r="2" spans="1:7" x14ac:dyDescent="0.25">
      <c r="A2" s="2" t="s">
        <v>154</v>
      </c>
      <c r="B2" s="2" t="s">
        <v>1</v>
      </c>
      <c r="C2" s="2" t="s">
        <v>155</v>
      </c>
      <c r="D2" s="2" t="s">
        <v>156</v>
      </c>
      <c r="E2" s="2" t="s">
        <v>153</v>
      </c>
      <c r="F2" s="2" t="s">
        <v>158</v>
      </c>
      <c r="G2" s="2" t="s">
        <v>157</v>
      </c>
    </row>
    <row r="3" spans="1:7" x14ac:dyDescent="0.25">
      <c r="A3" t="s">
        <v>27</v>
      </c>
      <c r="B3" t="s">
        <v>26</v>
      </c>
      <c r="C3" s="4">
        <v>600000</v>
      </c>
      <c r="D3" s="4">
        <v>21304</v>
      </c>
      <c r="E3" s="4">
        <v>9010877</v>
      </c>
      <c r="F3" s="3">
        <f>C3/E3</f>
        <v>6.6586193552525458E-2</v>
      </c>
      <c r="G3" s="3">
        <f>D3/E3</f>
        <v>2.3642537790716706E-3</v>
      </c>
    </row>
    <row r="4" spans="1:7" x14ac:dyDescent="0.25">
      <c r="A4" t="s">
        <v>117</v>
      </c>
      <c r="B4" t="s">
        <v>101</v>
      </c>
      <c r="C4" s="4">
        <v>400000</v>
      </c>
      <c r="D4" s="4">
        <v>41190</v>
      </c>
      <c r="E4" s="4">
        <v>1705856</v>
      </c>
      <c r="F4" s="3">
        <f>C4/E4</f>
        <v>0.23448638103098973</v>
      </c>
      <c r="G4" s="3">
        <f>D4/E4</f>
        <v>2.4146235086666166E-2</v>
      </c>
    </row>
    <row r="5" spans="1:7" x14ac:dyDescent="0.25">
      <c r="A5" t="s">
        <v>115</v>
      </c>
      <c r="B5" t="s">
        <v>103</v>
      </c>
      <c r="C5" s="4">
        <v>55000</v>
      </c>
      <c r="D5" s="4">
        <v>11836</v>
      </c>
      <c r="E5" s="4">
        <v>6943565</v>
      </c>
      <c r="F5" s="3">
        <f t="shared" ref="F5:F27" si="0">C5/E5</f>
        <v>7.9210031158345896E-3</v>
      </c>
      <c r="G5" s="3">
        <f t="shared" ref="G5:G27" si="1">D5/E5</f>
        <v>1.7045998705276036E-3</v>
      </c>
    </row>
    <row r="6" spans="1:7" x14ac:dyDescent="0.25">
      <c r="A6" t="s">
        <v>73</v>
      </c>
      <c r="B6" t="s">
        <v>74</v>
      </c>
      <c r="C6" s="4">
        <v>9000</v>
      </c>
      <c r="D6" s="4">
        <v>1150</v>
      </c>
      <c r="E6" s="4">
        <v>1208118</v>
      </c>
      <c r="F6" s="3">
        <f t="shared" si="0"/>
        <v>7.4496034327772619E-3</v>
      </c>
      <c r="G6" s="3">
        <f t="shared" si="1"/>
        <v>9.5189377196598342E-4</v>
      </c>
    </row>
    <row r="7" spans="1:7" x14ac:dyDescent="0.25">
      <c r="A7" t="s">
        <v>114</v>
      </c>
      <c r="B7" t="s">
        <v>104</v>
      </c>
      <c r="C7" s="4">
        <v>277000</v>
      </c>
      <c r="D7" s="4">
        <v>16729</v>
      </c>
      <c r="E7" s="4">
        <v>10710749</v>
      </c>
      <c r="F7" s="3">
        <f t="shared" si="0"/>
        <v>2.5861870164262089E-2</v>
      </c>
      <c r="G7" s="3">
        <f t="shared" si="1"/>
        <v>1.5618889024474386E-3</v>
      </c>
    </row>
    <row r="8" spans="1:7" x14ac:dyDescent="0.25">
      <c r="A8" t="s">
        <v>5</v>
      </c>
      <c r="B8" t="s">
        <v>7</v>
      </c>
      <c r="C8" s="4">
        <v>1900000</v>
      </c>
      <c r="D8" s="4">
        <v>187919</v>
      </c>
      <c r="E8" s="4">
        <v>65286338</v>
      </c>
      <c r="F8" s="3">
        <f t="shared" si="0"/>
        <v>2.9102566604363687E-2</v>
      </c>
      <c r="G8" s="3">
        <f t="shared" si="1"/>
        <v>2.8783816914344316E-3</v>
      </c>
    </row>
    <row r="9" spans="1:7" x14ac:dyDescent="0.25">
      <c r="A9" t="s">
        <v>53</v>
      </c>
      <c r="B9" t="s">
        <v>52</v>
      </c>
      <c r="C9" s="4">
        <v>14000000</v>
      </c>
      <c r="D9" s="4">
        <v>211257</v>
      </c>
      <c r="E9" s="4">
        <v>83807610</v>
      </c>
      <c r="F9" s="3">
        <f t="shared" si="0"/>
        <v>0.16704926915348139</v>
      </c>
      <c r="G9" s="3">
        <f t="shared" si="1"/>
        <v>2.520737675254073E-3</v>
      </c>
    </row>
    <row r="10" spans="1:7" x14ac:dyDescent="0.25">
      <c r="A10" t="s">
        <v>138</v>
      </c>
      <c r="B10" t="s">
        <v>139</v>
      </c>
      <c r="C10" s="4">
        <v>9000</v>
      </c>
      <c r="D10" s="4">
        <v>188</v>
      </c>
      <c r="E10" s="4">
        <v>33690</v>
      </c>
      <c r="F10" s="3">
        <f t="shared" si="0"/>
        <v>0.26714158504007124</v>
      </c>
      <c r="G10" s="3">
        <f t="shared" si="1"/>
        <v>5.5802908875037102E-3</v>
      </c>
    </row>
    <row r="11" spans="1:7" x14ac:dyDescent="0.25">
      <c r="A11" t="s">
        <v>97</v>
      </c>
      <c r="B11" t="s">
        <v>96</v>
      </c>
      <c r="C11" s="4">
        <v>10000</v>
      </c>
      <c r="D11" s="4">
        <v>4535</v>
      </c>
      <c r="E11" s="4">
        <v>9658118</v>
      </c>
      <c r="F11" s="3">
        <f t="shared" si="0"/>
        <v>1.0353984078471602E-3</v>
      </c>
      <c r="G11" s="3">
        <f t="shared" si="1"/>
        <v>4.6955317795868717E-4</v>
      </c>
    </row>
    <row r="12" spans="1:7" x14ac:dyDescent="0.25">
      <c r="A12" t="s">
        <v>8</v>
      </c>
      <c r="B12" t="s">
        <v>9</v>
      </c>
      <c r="C12" s="4">
        <v>100000000</v>
      </c>
      <c r="D12" s="4">
        <v>1804258</v>
      </c>
      <c r="E12" s="4">
        <v>1381159795</v>
      </c>
      <c r="F12" s="3">
        <f t="shared" si="0"/>
        <v>7.2402918447246001E-2</v>
      </c>
      <c r="G12" s="3">
        <f t="shared" si="1"/>
        <v>1.3063354483179117E-3</v>
      </c>
    </row>
    <row r="13" spans="1:7" x14ac:dyDescent="0.25">
      <c r="A13" t="s">
        <v>123</v>
      </c>
      <c r="B13" t="s">
        <v>106</v>
      </c>
      <c r="C13" s="4">
        <v>19000000</v>
      </c>
      <c r="D13" s="4">
        <v>111455</v>
      </c>
      <c r="E13" s="4">
        <v>273768876</v>
      </c>
      <c r="F13" s="3">
        <f t="shared" si="0"/>
        <v>6.9401607215569677E-2</v>
      </c>
      <c r="G13" s="3">
        <f t="shared" si="1"/>
        <v>4.0711348064270095E-4</v>
      </c>
    </row>
    <row r="14" spans="1:7" x14ac:dyDescent="0.25">
      <c r="A14" t="s">
        <v>60</v>
      </c>
      <c r="B14" t="s">
        <v>61</v>
      </c>
      <c r="C14" s="4">
        <v>4000000</v>
      </c>
      <c r="D14" s="4">
        <v>309437</v>
      </c>
      <c r="E14" s="4">
        <v>84082937</v>
      </c>
      <c r="F14" s="3">
        <f t="shared" si="0"/>
        <v>4.7572077554807579E-2</v>
      </c>
      <c r="G14" s="3">
        <f t="shared" si="1"/>
        <v>3.6801402405817487E-3</v>
      </c>
    </row>
    <row r="15" spans="1:7" x14ac:dyDescent="0.25">
      <c r="A15" t="s">
        <v>58</v>
      </c>
      <c r="B15" t="s">
        <v>57</v>
      </c>
      <c r="C15" s="4">
        <v>2000000</v>
      </c>
      <c r="D15" s="4">
        <v>72584</v>
      </c>
      <c r="E15" s="4">
        <v>9197590</v>
      </c>
      <c r="F15" s="3">
        <f t="shared" si="0"/>
        <v>0.21744826633933453</v>
      </c>
      <c r="G15" s="3">
        <f t="shared" si="1"/>
        <v>7.8916324819871299E-3</v>
      </c>
    </row>
    <row r="16" spans="1:7" x14ac:dyDescent="0.25">
      <c r="A16" t="s">
        <v>10</v>
      </c>
      <c r="B16" t="s">
        <v>11</v>
      </c>
      <c r="C16" s="4">
        <v>2200000</v>
      </c>
      <c r="D16" s="4">
        <v>248070</v>
      </c>
      <c r="E16" s="4">
        <v>60453777</v>
      </c>
      <c r="F16" s="3">
        <f t="shared" si="0"/>
        <v>3.6391440025327119E-2</v>
      </c>
      <c r="G16" s="3">
        <f t="shared" si="1"/>
        <v>4.1034656941285903E-3</v>
      </c>
    </row>
    <row r="17" spans="1:7" x14ac:dyDescent="0.25">
      <c r="A17" t="s">
        <v>76</v>
      </c>
      <c r="B17" t="s">
        <v>77</v>
      </c>
      <c r="C17" s="4">
        <v>4000000</v>
      </c>
      <c r="D17" s="4">
        <v>35836</v>
      </c>
      <c r="E17" s="4">
        <v>126441125</v>
      </c>
      <c r="F17" s="3">
        <f t="shared" si="0"/>
        <v>3.1635276892704019E-2</v>
      </c>
      <c r="G17" s="3">
        <f t="shared" si="1"/>
        <v>2.8342044568173527E-4</v>
      </c>
    </row>
    <row r="18" spans="1:7" x14ac:dyDescent="0.25">
      <c r="A18" t="s">
        <v>120</v>
      </c>
      <c r="B18" t="s">
        <v>107</v>
      </c>
      <c r="C18" s="4">
        <v>100000</v>
      </c>
      <c r="D18" s="4">
        <v>8999</v>
      </c>
      <c r="E18" s="4">
        <v>32400707</v>
      </c>
      <c r="F18" s="3">
        <f t="shared" si="0"/>
        <v>3.0863524058286755E-3</v>
      </c>
      <c r="G18" s="3">
        <f t="shared" si="1"/>
        <v>2.7774085300052249E-4</v>
      </c>
    </row>
    <row r="19" spans="1:7" x14ac:dyDescent="0.25">
      <c r="A19" t="s">
        <v>69</v>
      </c>
      <c r="B19" t="s">
        <v>81</v>
      </c>
      <c r="C19" s="4">
        <v>1427000</v>
      </c>
      <c r="D19" s="4">
        <v>9263</v>
      </c>
      <c r="E19" s="4">
        <v>5424892</v>
      </c>
      <c r="F19" s="3">
        <f t="shared" si="0"/>
        <v>0.26304671134466823</v>
      </c>
      <c r="G19" s="3">
        <f t="shared" si="1"/>
        <v>1.7074994304034071E-3</v>
      </c>
    </row>
    <row r="20" spans="1:7" x14ac:dyDescent="0.25">
      <c r="A20" t="s">
        <v>130</v>
      </c>
      <c r="B20" t="s">
        <v>109</v>
      </c>
      <c r="C20" s="4">
        <v>1200000</v>
      </c>
      <c r="D20" s="4">
        <v>103185</v>
      </c>
      <c r="E20" s="4">
        <v>109702792</v>
      </c>
      <c r="F20" s="3">
        <f t="shared" si="0"/>
        <v>1.093864593710614E-2</v>
      </c>
      <c r="G20" s="3">
        <f t="shared" si="1"/>
        <v>9.4058681751691428E-4</v>
      </c>
    </row>
    <row r="21" spans="1:7" x14ac:dyDescent="0.25">
      <c r="A21" t="s">
        <v>54</v>
      </c>
      <c r="B21" t="s">
        <v>51</v>
      </c>
      <c r="C21" s="4">
        <v>41665</v>
      </c>
      <c r="D21" s="4">
        <v>46894</v>
      </c>
      <c r="E21" s="4">
        <v>37842866</v>
      </c>
      <c r="F21" s="3">
        <f t="shared" si="0"/>
        <v>1.1010001198112215E-3</v>
      </c>
      <c r="G21" s="3">
        <f t="shared" si="1"/>
        <v>1.2391767579125745E-3</v>
      </c>
    </row>
    <row r="22" spans="1:7" x14ac:dyDescent="0.25">
      <c r="A22" t="s">
        <v>63</v>
      </c>
      <c r="B22" t="s">
        <v>64</v>
      </c>
      <c r="C22" s="4">
        <v>2531630</v>
      </c>
      <c r="D22" s="4">
        <v>111107</v>
      </c>
      <c r="E22" s="4">
        <v>2807805</v>
      </c>
      <c r="F22" s="3">
        <f t="shared" si="0"/>
        <v>0.90164024923383213</v>
      </c>
      <c r="G22" s="3">
        <f t="shared" si="1"/>
        <v>3.95707679130139E-2</v>
      </c>
    </row>
    <row r="23" spans="1:7" x14ac:dyDescent="0.25">
      <c r="A23" t="s">
        <v>12</v>
      </c>
      <c r="B23" t="s">
        <v>13</v>
      </c>
      <c r="C23" s="4">
        <v>2100000</v>
      </c>
      <c r="D23" s="4">
        <v>52825</v>
      </c>
      <c r="E23" s="4">
        <v>5854304</v>
      </c>
      <c r="F23" s="3">
        <f t="shared" si="0"/>
        <v>0.35871044619479958</v>
      </c>
      <c r="G23" s="3">
        <f t="shared" si="1"/>
        <v>9.0232758667810904E-3</v>
      </c>
    </row>
    <row r="24" spans="1:7" x14ac:dyDescent="0.25">
      <c r="A24" t="s">
        <v>33</v>
      </c>
      <c r="B24" t="s">
        <v>32</v>
      </c>
      <c r="C24" s="4">
        <v>500000</v>
      </c>
      <c r="D24" s="4">
        <v>35550</v>
      </c>
      <c r="E24" s="4">
        <v>8660089</v>
      </c>
      <c r="F24" s="3">
        <f t="shared" si="0"/>
        <v>5.7736127192226316E-2</v>
      </c>
      <c r="G24" s="3">
        <f t="shared" si="1"/>
        <v>4.105038643367291E-3</v>
      </c>
    </row>
    <row r="25" spans="1:7" x14ac:dyDescent="0.25">
      <c r="A25" t="s">
        <v>83</v>
      </c>
      <c r="B25" t="s">
        <v>90</v>
      </c>
      <c r="C25" s="4">
        <v>355000</v>
      </c>
      <c r="D25" s="4">
        <v>3317</v>
      </c>
      <c r="E25" s="4">
        <v>69815508</v>
      </c>
      <c r="F25" s="3">
        <f t="shared" si="0"/>
        <v>5.0848301497713085E-3</v>
      </c>
      <c r="G25" s="3">
        <f t="shared" si="1"/>
        <v>4.7510934103637834E-5</v>
      </c>
    </row>
    <row r="26" spans="1:7" x14ac:dyDescent="0.25">
      <c r="A26" t="s">
        <v>84</v>
      </c>
      <c r="B26" t="s">
        <v>85</v>
      </c>
      <c r="C26" s="4">
        <v>14186000</v>
      </c>
      <c r="D26" s="4">
        <v>232856</v>
      </c>
      <c r="E26" s="4">
        <v>84415940</v>
      </c>
      <c r="F26" s="3">
        <f t="shared" si="0"/>
        <v>0.1680488305881567</v>
      </c>
      <c r="G26" s="3">
        <f t="shared" si="1"/>
        <v>2.7584363806172152E-3</v>
      </c>
    </row>
    <row r="27" spans="1:7" x14ac:dyDescent="0.25">
      <c r="A27" t="s">
        <v>91</v>
      </c>
      <c r="B27" t="s">
        <v>92</v>
      </c>
      <c r="C27" s="4">
        <v>382160</v>
      </c>
      <c r="D27" s="4">
        <v>620</v>
      </c>
      <c r="E27" s="4">
        <v>97413518</v>
      </c>
      <c r="F27" s="3">
        <f t="shared" si="0"/>
        <v>3.9230694861056145E-3</v>
      </c>
      <c r="G27" s="3">
        <f t="shared" si="1"/>
        <v>6.3646197440482543E-6</v>
      </c>
    </row>
  </sheetData>
  <conditionalFormatting sqref="F3:G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ByRegion</vt:lpstr>
      <vt:lpstr>Charts</vt:lpstr>
      <vt:lpstr>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</dc:creator>
  <cp:lastModifiedBy>Amy</cp:lastModifiedBy>
  <dcterms:created xsi:type="dcterms:W3CDTF">2020-07-07T18:09:53Z</dcterms:created>
  <dcterms:modified xsi:type="dcterms:W3CDTF">2020-12-04T18:33:22Z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8ec525ed-9524-4e24-85eb-1c5b1c40c9c9</vt:lpwstr>
  </property>
</Properties>
</file>